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902" windowHeight="9255" activeTab="1"/>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<sst xmlns="http://schemas.openxmlformats.org/spreadsheetml/2006/main" count="243" uniqueCount="120">
  <si>
    <t>Horizontal Parameters</t>
  </si>
  <si>
    <t>Vertical Parameters</t>
  </si>
  <si>
    <t>p_alpha</t>
  </si>
  <si>
    <t>beta</t>
  </si>
  <si>
    <t>p_kappa</t>
  </si>
  <si>
    <t>delta</t>
  </si>
  <si>
    <t>A</t>
  </si>
  <si>
    <t>B</t>
  </si>
  <si>
    <t>C</t>
  </si>
  <si>
    <t>Africa</t>
  </si>
  <si>
    <t>South and Southeast Asia</t>
  </si>
  <si>
    <t>Latin America</t>
  </si>
  <si>
    <t>===== 2016 Alpha-Beta Counts (Total &amp; by Continent) =====</t>
  </si>
  <si>
    <t>===== 2023 Alpha-Beta Counts (Total &amp; by Continent) =====</t>
  </si>
  <si>
    <t>category_alpha_beta</t>
  </si>
  <si>
    <t>2016 Alpha-Beta</t>
  </si>
  <si>
    <t>LC-SG</t>
  </si>
  <si>
    <t>LC-FG</t>
  </si>
  <si>
    <t>HC-SG</t>
  </si>
  <si>
    <t>HC-FG</t>
  </si>
  <si>
    <t>Core open, edge locked     47</t>
  </si>
  <si>
    <t>Core open, edge locked     46</t>
  </si>
  <si>
    <t>Core open, edge locked</t>
  </si>
  <si>
    <t>Uniform developable landscape      29</t>
  </si>
  <si>
    <t>Uniform developable landscape      31</t>
  </si>
  <si>
    <t>Asia</t>
  </si>
  <si>
    <t>Uniform constrained landscape     27</t>
  </si>
  <si>
    <t>Uniform constrained landscape     26</t>
  </si>
  <si>
    <t>Core limited, edge locked     1</t>
  </si>
  <si>
    <t>Uniform developable landscape</t>
  </si>
  <si>
    <t>Name: count, dtype: int64</t>
  </si>
  <si>
    <t>By continent:</t>
  </si>
  <si>
    <t>Core limited, edge locked</t>
  </si>
  <si>
    <t>category_alpha_beta  Uniform constrained landscape  \</t>
  </si>
  <si>
    <t>continent</t>
  </si>
  <si>
    <t>Africa                                           18</t>
  </si>
  <si>
    <t>Uniform constrained landscape</t>
  </si>
  <si>
    <t>Asia                                              5</t>
  </si>
  <si>
    <t>Asia                                              4</t>
  </si>
  <si>
    <t>Latin America                                     4</t>
  </si>
  <si>
    <t>category_alpha_beta  Core limited, edge locked  \</t>
  </si>
  <si>
    <t>2016 Kappa-Delta</t>
  </si>
  <si>
    <t>Africa                                             0</t>
  </si>
  <si>
    <t>Small core, sparse periphery</t>
  </si>
  <si>
    <t>LI-SG</t>
  </si>
  <si>
    <t>LI-FG</t>
  </si>
  <si>
    <t>HI-SG</t>
  </si>
  <si>
    <t>HI-FG</t>
  </si>
  <si>
    <t>Asia                                               1</t>
  </si>
  <si>
    <t>Latin America                                      0</t>
  </si>
  <si>
    <t>Uniform sparse construction</t>
  </si>
  <si>
    <t>category_alpha_beta  Uniform developable landscape  \</t>
  </si>
  <si>
    <t>Africa                                          10</t>
  </si>
  <si>
    <t>Dense core, sparse periphery</t>
  </si>
  <si>
    <t>Asia                                             9</t>
  </si>
  <si>
    <t>Asia                                            11</t>
  </si>
  <si>
    <t>Latin America                                   10</t>
  </si>
  <si>
    <t>Uniform dense construction</t>
  </si>
  <si>
    <t>category_alpha_beta  Core open, edge locked</t>
  </si>
  <si>
    <t>2023 Alpha-Beta</t>
  </si>
  <si>
    <t>Africa                                           16</t>
  </si>
  <si>
    <t>Asia                                             15</t>
  </si>
  <si>
    <t>Asia                                             14</t>
  </si>
  <si>
    <t>Latin America                                    16</t>
  </si>
  <si>
    <t>===== 2016 Alpha-Beta Lists =====</t>
  </si>
  <si>
    <t>===== 2023 Alpha-Beta Lists =====</t>
  </si>
  <si>
    <t>Uniform constrained landscape: [('Kigali', 2016), ('Conakry', 2016), ('Abuja', 2016), ('Freetown', 2016), ('Mombasa', 2016), ('Monrovia', 2016), ('Bujumbura', 2016), ('Constantine', 2016), ('Hanoi', 2016), ('Lagos', 2016), ('Onitsha', 2016), ('Alexandria', 2016), ('Dar es Salaam', 2016), ('Kisumu', 2016), ('Accra', 2016), ('Algiers', 2016), ('Cape Town', 2016), ('Dakar', 2016), ('Maputo', 2016), ('Davao', 2016), ('Makassar', 2016), ('Batam', 2016), ('Bandar Lampung', 2016), ('Rio de Janeiro', 2016), ('Brasilia', 2016), ('Salvador', 2016), ('Asuncion', 2016)]</t>
  </si>
  <si>
    <t>Uniform constrained landscape: [('Kigali', 2023), ('Conakry', 2023), ('Abuja', 2023), ('Freetown', 2023), ('Mombasa', 2023), ('Monrovia', 2023), ('Constantine', 2023), ('Lagos', 2023), ('Onitsha', 2023), ('Luanda', 2023), ('Alexandria', 2023), ('Dar es Salaam', 2023), ('Kisumu', 2023), ('Accra', 2023), ('Algiers', 2023), ('Cape Town', 2023), ('Dakar', 2023), ('Maputo', 2023), ('Davao', 2023), ('Makassar', 2023), ('Batam', 2023), ('Bandar Lampung', 2023), ('Rio de Janeiro', 2023), ('Brasilia', 2023), ('Salvador', 2023), ('Asuncion', 2023)]</t>
  </si>
  <si>
    <t>Core limited, edge locked: [('Mumbai', 2016)]</t>
  </si>
  <si>
    <t>Core limited, edge locked: [('Mumbai', 2023)]</t>
  </si>
  <si>
    <t>Uniform developable landscape: [('Aba', 2016), ('Brazzaville', 2016), ('Lilongwe', 2016), ('Oran', 2016), ('Libreville', 2016), ('Windhoek', 2016), ('Jakarta', 2016), ('Buenos Aires', 2016), ('Johannesburg', 2016), ('Luanda', 2016), ('Nairobi', 2016), ('Harare', 2016), ('Bangkok', 2016), ('Ho Chi Minh City', 2016), ('Kuala Lumpur', 2016), ('Bandung', 2016), ('Surabaya', 2016), ('Phnom Penh', 2016), ('Denpasar', 2016), ('Semarang', 2016), ('Guatemala City', 2016), ('Quito', 2016), ('Tegucigalpa', 2016), ('San Jose', 2016), ('Managua', 2016), ('Merida', 2016), ('Queretaro', 2016), ('Acapulco', 2016), ('San Salvador', 2016)]</t>
  </si>
  <si>
    <t>Uniform developable landscape: [('Aba', 2023), ('Brazzaville', 2023), ('Lilongwe', 2023), ('Bujumbura', 2023), ('Oran', 2023), ('Libreville', 2023), ('Windhoek', 2023), ('Jakarta', 2023), ('Delhi', 2023), ('Hanoi', 2023), ('Buenos Aires', 2023), ('Johannesburg', 2023), ('Nairobi', 2023), ('Harare', 2023), ('Bangkok', 2023), ('Ho Chi Minh City', 2023), ('Kuala Lumpur', 2023), ('Bandung', 2023), ('Surabaya', 2023), ('Phnom Penh', 2023), ('Denpasar', 2023), ('Semarang', 2023), ('Guatemala City', 2023), ('Quito', 2023), ('Tegucigalpa', 2023), ('San Jose', 2023), ('Managua', 2023), ('Merida', 2023), ('Queretaro', 2023), ('Acapulco', 2023), ('San Salvador', 2023)]</t>
  </si>
  <si>
    <t>Core open, edge locked: [('Niamey', 2016), ('Nouakchott', 2016), ('Bangui', 2016), ('Bobo-Dioulasso', 2016), ('Delhi', 2016), ('Antananarivo', 2016), ('Abidjan', 2016), ('Yaounde', 2016), ('Lusaka', 2016), ('Monterrey', 2016), ('Medan', 2016), ('Cairo', 2016), ('Kinshasa', 2016), ('Kano', 2016), ('Kampala', 2016), ('Addis Ababa', 2016), ('Ibadan', 2016), ('Kumasi', 2016), ('Ouagadougou', 2016), ('Manila', 2016), ('Dhaka', 2016), ('Kolkata', 2016), ('Karachi', 2016), ('Bangalore', 2016), ('Chennai', 2016), ('Hyderabad', 2016), ('Pune', 2016), ('Ahmedabad', 2016), ('Surat', 2016), ('Jaipur', 2016), ('Palembang', 2016), ('Kathmandu', 2016), ('Sao Paulo', 2016), ('Mexico City', 2016), ('Lima', 2016), ('Bogota', 2016), ('Guadalajara', 2016), ('Belo Horizonte', 2016), ('La Paz', 2016), ('Guayaquil', 2016), ('Santo Domingo', 2016), ('Medellin', 2016), ('Cali', 2016), ('Leon', 2016), ('Puebla', 2016), ('Port-au-Prince', 2016), ('Cancun', 2016)]</t>
  </si>
  <si>
    <t>Core open, edge locked: [('Niamey', 2023), ('Nouakchott', 2023), ('Bangui', 2023), ('Bobo-Dioulasso', 2023), ('Antananarivo', 2023), ('Abidjan', 2023), ('Yaounde', 2023), ('Lusaka', 2023), ('Monterrey', 2023), ('Medan', 2023), ('Cairo', 2023), ('Kinshasa', 2023), ('Kano', 2023), ('Kampala', 2023), ('Addis Ababa', 2023), ('Ibadan', 2023), ('Kumasi', 2023), ('Ouagadougou', 2023), ('Manila', 2023), ('Dhaka', 2023), ('Kolkata', 2023), ('Karachi', 2023), ('Bangalore', 2023), ('Chennai', 2023), ('Hyderabad', 2023), ('Pune', 2023), ('Ahmedabad', 2023), ('Surat', 2023), ('Jaipur', 2023), ('Palembang', 2023), ('Kathmandu', 2023), ('Sao Paulo', 2023), ('Mexico City', 2023), ('Lima', 2023), ('Bogota', 2023), ('Guadalajara', 2023), ('Belo Horizonte', 2023), ('La Paz', 2023), ('Guayaquil', 2023), ('Santo Domingo', 2023), ('Medellin', 2023), ('Cali', 2023), ('Leon', 2023), ('Puebla', 2023), ('Port-au-Prince', 2023), ('Cancun', 2023)]</t>
  </si>
  <si>
    <t>===== 2016 Kappa-Delta Counts (Total &amp; by Continent) =====</t>
  </si>
  <si>
    <t>===== 2023 Kappa-Delta Counts (Total &amp; by Continent) =====</t>
  </si>
  <si>
    <t>category_kappa_delta</t>
  </si>
  <si>
    <t>Small core, sparse periphery     45</t>
  </si>
  <si>
    <t>Small core, sparse periphery     43</t>
  </si>
  <si>
    <t>Uniform sparse construction      33</t>
  </si>
  <si>
    <t>Uniform sparse construction      28</t>
  </si>
  <si>
    <t>Uniform dense construction     17</t>
  </si>
  <si>
    <t>Uniform dense construction     21</t>
  </si>
  <si>
    <t>Dense core, sparse periphery     9</t>
  </si>
  <si>
    <t>Dense core, sparse periphery    12</t>
  </si>
  <si>
    <t>category_kappa_delta  Uniform dense construction  \</t>
  </si>
  <si>
    <t>Africa                                            2</t>
  </si>
  <si>
    <t>Africa                                            5</t>
  </si>
  <si>
    <t>Asia                                              9</t>
  </si>
  <si>
    <t>Asia                                              8</t>
  </si>
  <si>
    <t>Latin America                                     6</t>
  </si>
  <si>
    <t>Latin America                                     8</t>
  </si>
  <si>
    <t>category_kappa_delta  Dense core, sparse periphery  \</t>
  </si>
  <si>
    <t>Africa                                             2</t>
  </si>
  <si>
    <t>Asia                                               5</t>
  </si>
  <si>
    <t>Asia                                               9</t>
  </si>
  <si>
    <t>Latin America                                      2</t>
  </si>
  <si>
    <t>Latin America                                      1</t>
  </si>
  <si>
    <t>category_kappa_delta  Uniform sparse construction  \</t>
  </si>
  <si>
    <t>Africa                                          20</t>
  </si>
  <si>
    <t>Africa                                          18</t>
  </si>
  <si>
    <t>Asia                                             6</t>
  </si>
  <si>
    <t>Asia                                             5</t>
  </si>
  <si>
    <t>Latin America                                    7</t>
  </si>
  <si>
    <t>Latin America                                    5</t>
  </si>
  <si>
    <t>category_kappa_delta  Small core, sparse periphery</t>
  </si>
  <si>
    <t>Africa                                           20</t>
  </si>
  <si>
    <t>Africa                                           19</t>
  </si>
  <si>
    <t>Asia                                             10</t>
  </si>
  <si>
    <t>Latin America                                    15</t>
  </si>
  <si>
    <t>===== 2016 Kappa-Delta Lists =====</t>
  </si>
  <si>
    <t>===== 2023 Kappa-Delta Lists =====</t>
  </si>
  <si>
    <t>Uniform dense construction: [('Jakarta', 2016), ('Buenos Aires', 2016), ('Medan', 2016), ('Cairo', 2016), ('Kinshasa', 2016), ('Manila', 2016), ('Kolkata', 2016), ('Ho Chi Minh City', 2016), ('Surat', 2016), ('Jaipur', 2016), ('Phnom Penh', 2016), ('Makassar', 2016), ('Mexico City', 2016), ('Lima', 2016), ('Guadalajara', 2016), ('Guayaquil', 2016), ('Cali', 2016)]</t>
  </si>
  <si>
    <t>Uniform dense construction: [('Mombasa', 2023), ('Jakarta', 2023), ('Abidjan', 2023), ('Buenos Aires', 2023), ('Medan', 2023), ('Cairo', 2023), ('Lagos', 2023), ('Kinshasa', 2023), ('Manila', 2023), ('Kolkata', 2023), ('Bangalore', 2023), ('Ho Chi Minh City', 2023), ('Surat', 2023), ('Jaipur', 2023), ('Mexico City', 2023), ('Lima', 2023), ('Guadalajara', 2023), ('Belo Horizonte', 2023), ('Guayaquil', 2023), ('Medellin', 2023), ('Cali', 2023)]</t>
  </si>
  <si>
    <t>Dense core, sparse periphery: [('Alexandria', 2016), ('Dakar', 2016), ('Bandung', 2016), ('Surabaya', 2016), ('Denpasar', 2016), ('Semarang', 2016), ('Bandar Lampung', 2016), ('Sao Paulo', 2016), ('Salvador', 2016)]</t>
  </si>
  <si>
    <t>Dense core, sparse periphery: [('Alexandria', 2023), ('Dakar', 2023), ('Karachi', 2023), ('Bandung', 2023), ('Surabaya', 2023), ('Phnom Penh', 2023), ('Denpasar', 2023), ('Semarang', 2023), ('Palembang', 2023), ('Makassar', 2023), ('Bandar Lampung', 2023), ('Salvador', 2023)]</t>
  </si>
  <si>
    <t>Uniform sparse construction: [('Brazzaville', 2016), ('Mombasa', 2016), ('Monrovia', 2016), ('Niamey', 2016), ('Nouakchott', 2016), ('Bujumbura', 2016), ('Bangui', 2016), ('Bobo-Dioulasso', 2016), ('Antananarivo', 2016), ('Abidjan', 2016), ('Yaounde', 2016), ('Lagos', 2016), ('Luanda', 2016), ('Nairobi', 2016), ('Dar es Salaam', 2016), ('Kano', 2016), ('Kampala', 2016), ('Addis Ababa', 2016), ('Ibadan', 2016), ('Ouagadougou', 2016), ('Dhaka', 2016), ('Bangalore', 2016), ('Chennai', 2016), ('Hyderabad', 2016), ('Ahmedabad', 2016), ('Kathmandu', 2016), ('Belo Horizonte', 2016), ('La Paz', 2016), ('Santo Domingo', 2016), ('Medellin', 2016), ('Puebla', 2016), ('Port-au-Prince', 2016), ('Asuncion', 2016)]</t>
  </si>
  <si>
    <t>Uniform sparse construction: [('Brazzaville', 2023), ('Monrovia', 2023), ('Niamey', 2023), ('Nouakchott', 2023), ('Bujumbura', 2023), ('Bangui', 2023), ('Antananarivo', 2023), ('Yaounde', 2023), ('Lusaka', 2023), ('Luanda', 2023), ('Nairobi', 2023), ('Dar es Salaam', 2023), ('Kano', 2023), ('Kampala', 2023), ('Addis Ababa', 2023), ('Ibadan', 2023), ('Kumasi', 2023), ('Ouagadougou', 2023), ('Dhaka', 2023), ('Chennai', 2023), ('Hyderabad', 2023), ('Ahmedabad', 2023), ('Kathmandu', 2023), ('Santo Domingo', 2023), ('Tegucigalpa', 2023), ('Puebla', 2023), ('Port-au-Prince', 2023), ('Asuncion', 2023)]</t>
  </si>
  <si>
    <t>Small core, sparse periphery: [('Kigali', 2016), ('Conakry', 2016), ('Abuja', 2016), ('Aba', 2016), ('Freetown', 2016), ('Lilongwe', 2016), ('Oran', 2016), ('Libreville', 2016), ('Constantine', 2016), ('Windhoek', 2016), ('Delhi', 2016), ('Lusaka', 2016), ('Hanoi', 2016), ('Monterrey', 2016), ('Onitsha', 2016), ('Johannesburg', 2016), ('Kisumu', 2016), ('Accra', 2016), ('Algiers', 2016), ('Cape Town', 2016), ('Kumasi', 2016), ('Maputo', 2016), ('Harare', 2016), ('Mumbai', 2016), ('Bangkok', 2016), ('Karachi', 2016), ('Kuala Lumpur', 2016), ('Pune', 2016), ('Davao', 2016), ('Palembang', 2016), ('Batam', 2016), ('Rio de Janeiro', 2016), ('Bogota', 2016), ('Brasilia', 2016), ('Guatemala City', 2016), ('Quito', 2016), ('Tegucigalpa', 2016), ('Leon', 2016), ('San Jose', 2016), ('Managua', 2016), ('Merida', 2016), ('Cancun', 2016), ('Queretaro', 2016), ('Acapulco', 2016), ('San Salvador', 2016)]</t>
  </si>
  <si>
    <t>Small core, sparse periphery: [('Kigali', 2023), ('Conakry', 2023), ('Abuja', 2023), ('Aba', 2023), ('Freetown', 2023), ('Lilongwe', 2023), ('Oran', 2023), ('Libreville', 2023), ('Constantine', 2023), ('Bobo-Dioulasso', 2023), ('Windhoek', 2023), ('Delhi', 2023), ('Hanoi', 2023), ('Monterrey', 2023), ('Onitsha', 2023), ('Johannesburg', 2023), ('Kisumu', 2023), ('Accra', 2023), ('Algiers', 2023), ('Cape Town', 2023), ('Maputo', 2023), ('Harare', 2023), ('Mumbai', 2023), ('Bangkok', 2023), ('Kuala Lumpur', 2023), ('Pune', 2023), ('Davao', 2023), ('Batam', 2023), ('Sao Paulo', 2023), ('Rio de Janeiro', 2023), ('Bogota', 2023), ('Brasilia', 2023), ('Guatemala City', 2023), ('La Paz', 2023), ('Quito', 2023), ('Leon', 2023), ('San Jose', 2023), ('Managua', 2023), ('Merida', 2023), ('Cancun', 2023), ('Queretaro', 2023), ('Acapulco', 2023), ('San Salvador', 2023)]</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</si>
</sst>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 numFmtId="179" formatCode="0.000_ "/>
    <numFmt numFmtId="180" formatCode="0.0000_ "/>
  </numFmts>
  <fonts count="24">
    <font>
      <sz val="11"/>
      <color theme="1"/>
      <name val="宋体"/>
      <charset val="134"/>
      <scheme val="minor"/>
    </font>
    <font>
      <sz val="9.75"/>
      <color theme="1"/>
      <name val="Consolas"/>
      <charset val="134"/>
    </font>
    <font>
      <sz val="11"/>
      <color theme="1"/>
      <name val="Arial"/>
      <charset val="134"/>
    </font>
    <font>
      <sz val="12"/>
      <color theme="1"/>
      <name val="Arial"/>
      <charset val="134"/>
    </font>
    <font>
      <sz val="9.75"/>
      <color theme="1"/>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6">
    <xf numFmtId="0" fontId="0" fillId="0" borderId="0" xfId="0">
      <alignment vertical="center"/>
    </xf>
    <xf numFmtId="0" fontId="1" fillId="0" borderId="0" xfId="0" applyFont="1" applyAlignment="1">
      <alignment horizontal="left" vertical="center"/>
    </xf>
    <xf numFmtId="0" fontId="2" fillId="0" borderId="0" xfId="0" applyFont="1">
      <alignment vertical="center"/>
    </xf>
    <xf numFmtId="0" fontId="0" fillId="0" borderId="1" xfId="0" applyBorder="1">
      <alignment vertical="center"/>
    </xf>
    <xf numFmtId="0" fontId="3" fillId="0" borderId="1" xfId="0" applyFont="1" applyBorder="1">
      <alignment vertical="center"/>
    </xf>
    <xf numFmtId="0" fontId="3" fillId="0" borderId="1" xfId="0" applyFont="1" applyBorder="1" applyAlignment="1">
      <alignment horizontal="center" vertical="center"/>
    </xf>
    <xf numFmtId="49" fontId="3" fillId="0" borderId="1" xfId="0" applyNumberFormat="1" applyFont="1" applyBorder="1" applyAlignment="1">
      <alignment horizontal="left" vertical="center"/>
    </xf>
    <xf numFmtId="0" fontId="3" fillId="0" borderId="1" xfId="0" applyFont="1" applyBorder="1" applyAlignment="1">
      <alignment horizontal="left" vertical="center"/>
    </xf>
    <xf numFmtId="9" fontId="3" fillId="0" borderId="1" xfId="3" applyFont="1" applyBorder="1" applyAlignment="1">
      <alignment horizontal="left" vertical="center"/>
    </xf>
    <xf numFmtId="9" fontId="0" fillId="0" borderId="0" xfId="3">
      <alignment vertical="center"/>
    </xf>
    <xf numFmtId="0" fontId="2" fillId="0" borderId="0" xfId="0" applyFont="1" applyAlignment="1">
      <alignment horizontal="center" vertical="center"/>
    </xf>
    <xf numFmtId="0" fontId="4" fillId="0" borderId="0" xfId="0" applyFont="1" applyAlignment="1">
      <alignment horizontal="left" vertical="center"/>
    </xf>
    <xf numFmtId="10" fontId="2" fillId="0" borderId="0" xfId="3" applyNumberFormat="1" applyFont="1">
      <alignment vertical="center"/>
    </xf>
    <xf numFmtId="178" fontId="2" fillId="0" borderId="0" xfId="0" applyNumberFormat="1" applyFont="1">
      <alignment vertical="center"/>
    </xf>
    <xf numFmtId="179" fontId="2" fillId="0" borderId="0" xfId="0" applyNumberFormat="1" applyFont="1">
      <alignment vertical="center"/>
    </xf>
    <xf numFmtId="180" fontId="2" fillId="0" borderId="0" xfId="0" applyNumberFormat="1"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Sheet2!$U$2</c:f>
              <c:strCache>
                <c:ptCount val="1"/>
                <c:pt idx="0">
                  <c:v>LC-SG</c:v>
                </c:pt>
              </c:strCache>
            </c:strRef>
          </c:tx>
          <c:spPr>
            <a:solidFill>
              <a:schemeClr val="accent1"/>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Sheet2!$T$3:$T$5</c:f>
              <c:strCache>
                <c:ptCount val="3"/>
                <c:pt idx="0">
                  <c:v>Africa</c:v>
                </c:pt>
                <c:pt idx="1">
                  <c:v>Asia</c:v>
                </c:pt>
                <c:pt idx="2">
                  <c:v>Latin America</c:v>
                </c:pt>
              </c:strCache>
            </c:strRef>
          </c:cat>
          <c:val>
            <c:numRef>
              <c:f>Sheet2!$U$3:$U$5</c:f>
              <c:numCache>
                <c:formatCode>0%</c:formatCode>
                <c:ptCount val="3"/>
                <c:pt idx="0">
                  <c:v>0.363636363636364</c:v>
                </c:pt>
                <c:pt idx="1">
                  <c:v>0.5</c:v>
                </c:pt>
                <c:pt idx="2">
                  <c:v>0.533333333333333</c:v>
                </c:pt>
              </c:numCache>
            </c:numRef>
          </c:val>
        </c:ser>
        <c:ser>
          <c:idx val="1"/>
          <c:order val="1"/>
          <c:tx>
            <c:strRef>
              <c:f>Sheet2!$V$2</c:f>
              <c:strCache>
                <c:ptCount val="1"/>
                <c:pt idx="0">
                  <c:v>LC-FG</c:v>
                </c:pt>
              </c:strCache>
            </c:strRef>
          </c:tx>
          <c:spPr>
            <a:solidFill>
              <a:schemeClr val="accent2"/>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Sheet2!$T$3:$T$5</c:f>
              <c:strCache>
                <c:ptCount val="3"/>
                <c:pt idx="0">
                  <c:v>Africa</c:v>
                </c:pt>
                <c:pt idx="1">
                  <c:v>Asia</c:v>
                </c:pt>
                <c:pt idx="2">
                  <c:v>Latin America</c:v>
                </c:pt>
              </c:strCache>
            </c:strRef>
          </c:cat>
          <c:val>
            <c:numRef>
              <c:f>Sheet2!$V$3:$V$5</c:f>
              <c:numCache>
                <c:formatCode>0%</c:formatCode>
                <c:ptCount val="3"/>
                <c:pt idx="0">
                  <c:v>0.227272727272727</c:v>
                </c:pt>
                <c:pt idx="1">
                  <c:v>0.3</c:v>
                </c:pt>
                <c:pt idx="2">
                  <c:v>0.333333333333333</c:v>
                </c:pt>
              </c:numCache>
            </c:numRef>
          </c:val>
        </c:ser>
        <c:ser>
          <c:idx val="2"/>
          <c:order val="2"/>
          <c:tx>
            <c:strRef>
              <c:f>Sheet2!$W$2</c:f>
              <c:strCache>
                <c:ptCount val="1"/>
                <c:pt idx="0">
                  <c:v>HC-SG</c:v>
                </c:pt>
              </c:strCache>
            </c:strRef>
          </c:tx>
          <c:spPr>
            <a:solidFill>
              <a:schemeClr val="accent3"/>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Sheet2!$T$3:$T$5</c:f>
              <c:strCache>
                <c:ptCount val="3"/>
                <c:pt idx="0">
                  <c:v>Africa</c:v>
                </c:pt>
                <c:pt idx="1">
                  <c:v>Asia</c:v>
                </c:pt>
                <c:pt idx="2">
                  <c:v>Latin America</c:v>
                </c:pt>
              </c:strCache>
            </c:strRef>
          </c:cat>
          <c:val>
            <c:numRef>
              <c:f>Sheet2!$W$3:$W$5</c:f>
              <c:numCache>
                <c:formatCode>0%</c:formatCode>
                <c:ptCount val="3"/>
                <c:pt idx="0">
                  <c:v>0</c:v>
                </c:pt>
                <c:pt idx="1">
                  <c:v>0.0333333333333333</c:v>
                </c:pt>
                <c:pt idx="2">
                  <c:v>0</c:v>
                </c:pt>
              </c:numCache>
            </c:numRef>
          </c:val>
        </c:ser>
        <c:ser>
          <c:idx val="3"/>
          <c:order val="3"/>
          <c:tx>
            <c:strRef>
              <c:f>Sheet2!$X$2</c:f>
              <c:strCache>
                <c:ptCount val="1"/>
                <c:pt idx="0">
                  <c:v>HC-FG</c:v>
                </c:pt>
              </c:strCache>
            </c:strRef>
          </c:tx>
          <c:spPr>
            <a:solidFill>
              <a:schemeClr val="accent4"/>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Sheet2!$T$3:$T$5</c:f>
              <c:strCache>
                <c:ptCount val="3"/>
                <c:pt idx="0">
                  <c:v>Africa</c:v>
                </c:pt>
                <c:pt idx="1">
                  <c:v>Asia</c:v>
                </c:pt>
                <c:pt idx="2">
                  <c:v>Latin America</c:v>
                </c:pt>
              </c:strCache>
            </c:strRef>
          </c:cat>
          <c:val>
            <c:numRef>
              <c:f>Sheet2!$X$3:$X$5</c:f>
              <c:numCache>
                <c:formatCode>0%</c:formatCode>
                <c:ptCount val="3"/>
                <c:pt idx="0">
                  <c:v>0.409090909090909</c:v>
                </c:pt>
                <c:pt idx="1">
                  <c:v>0.166666666666667</c:v>
                </c:pt>
                <c:pt idx="2">
                  <c:v>0.133333333333333</c:v>
                </c:pt>
              </c:numCache>
            </c:numRef>
          </c:val>
        </c:ser>
        <c:dLbls>
          <c:showLegendKey val="0"/>
          <c:showVal val="1"/>
          <c:showCatName val="0"/>
          <c:showSerName val="0"/>
          <c:showPercent val="0"/>
          <c:showBubbleSize val="0"/>
        </c:dLbls>
        <c:gapWidth val="54"/>
        <c:overlap val="100"/>
        <c:axId val="864058613"/>
        <c:axId val="414164983"/>
      </c:barChart>
      <c:catAx>
        <c:axId val="864058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14164983"/>
        <c:crosses val="autoZero"/>
        <c:auto val="1"/>
        <c:lblAlgn val="ctr"/>
        <c:lblOffset val="100"/>
        <c:noMultiLvlLbl val="0"/>
      </c:catAx>
      <c:valAx>
        <c:axId val="414164983"/>
        <c:scaling>
          <c:orientation val="minMax"/>
          <c:max val="1"/>
        </c:scaling>
        <c:delete val="0"/>
        <c:axPos val="l"/>
        <c:majorGridlines>
          <c:spPr>
            <a:ln w="9525" cap="flat" cmpd="sng" algn="ctr">
              <a:solidFill>
                <a:schemeClr val="lt1">
                  <a:lumMod val="902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64058613"/>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f3a3187d-1a19-4746-a602-4cb1b869b0bf}"/>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Sheet2!$U$18</c:f>
              <c:strCache>
                <c:ptCount val="1"/>
                <c:pt idx="0">
                  <c:v>LI-SG</c:v>
                </c:pt>
              </c:strCache>
            </c:strRef>
          </c:tx>
          <c:spPr>
            <a:solidFill>
              <a:schemeClr val="accent2"/>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Sheet2!$T$19:$T$21</c:f>
              <c:strCache>
                <c:ptCount val="3"/>
                <c:pt idx="0">
                  <c:v>Africa</c:v>
                </c:pt>
                <c:pt idx="1">
                  <c:v>Asia</c:v>
                </c:pt>
                <c:pt idx="2">
                  <c:v>Latin America</c:v>
                </c:pt>
              </c:strCache>
            </c:strRef>
          </c:cat>
          <c:val>
            <c:numRef>
              <c:f>Sheet2!$U$19:$U$21</c:f>
              <c:numCache>
                <c:formatCode>0%</c:formatCode>
                <c:ptCount val="3"/>
                <c:pt idx="0">
                  <c:v>0.454545454545455</c:v>
                </c:pt>
                <c:pt idx="1">
                  <c:v>0.333333333333333</c:v>
                </c:pt>
                <c:pt idx="2">
                  <c:v>0.5</c:v>
                </c:pt>
              </c:numCache>
            </c:numRef>
          </c:val>
        </c:ser>
        <c:ser>
          <c:idx val="1"/>
          <c:order val="1"/>
          <c:tx>
            <c:strRef>
              <c:f>Sheet2!$V$18</c:f>
              <c:strCache>
                <c:ptCount val="1"/>
                <c:pt idx="0">
                  <c:v>LI-FG</c:v>
                </c:pt>
              </c:strCache>
            </c:strRef>
          </c:tx>
          <c:spPr>
            <a:solidFill>
              <a:schemeClr val="accent4"/>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Sheet2!$T$19:$T$21</c:f>
              <c:strCache>
                <c:ptCount val="3"/>
                <c:pt idx="0">
                  <c:v>Africa</c:v>
                </c:pt>
                <c:pt idx="1">
                  <c:v>Asia</c:v>
                </c:pt>
                <c:pt idx="2">
                  <c:v>Latin America</c:v>
                </c:pt>
              </c:strCache>
            </c:strRef>
          </c:cat>
          <c:val>
            <c:numRef>
              <c:f>Sheet2!$V$19:$V$21</c:f>
              <c:numCache>
                <c:formatCode>0%</c:formatCode>
                <c:ptCount val="3"/>
                <c:pt idx="0">
                  <c:v>0.454545454545455</c:v>
                </c:pt>
                <c:pt idx="1">
                  <c:v>0.2</c:v>
                </c:pt>
                <c:pt idx="2">
                  <c:v>0.233333333333333</c:v>
                </c:pt>
              </c:numCache>
            </c:numRef>
          </c:val>
        </c:ser>
        <c:ser>
          <c:idx val="2"/>
          <c:order val="2"/>
          <c:tx>
            <c:strRef>
              <c:f>Sheet2!$W$18</c:f>
              <c:strCache>
                <c:ptCount val="1"/>
                <c:pt idx="0">
                  <c:v>HI-SG</c:v>
                </c:pt>
              </c:strCache>
            </c:strRef>
          </c:tx>
          <c:spPr>
            <a:solidFill>
              <a:schemeClr val="accent6"/>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Sheet2!$T$19:$T$21</c:f>
              <c:strCache>
                <c:ptCount val="3"/>
                <c:pt idx="0">
                  <c:v>Africa</c:v>
                </c:pt>
                <c:pt idx="1">
                  <c:v>Asia</c:v>
                </c:pt>
                <c:pt idx="2">
                  <c:v>Latin America</c:v>
                </c:pt>
              </c:strCache>
            </c:strRef>
          </c:cat>
          <c:val>
            <c:numRef>
              <c:f>Sheet2!$W$19:$W$21</c:f>
              <c:numCache>
                <c:formatCode>0%</c:formatCode>
                <c:ptCount val="3"/>
                <c:pt idx="0">
                  <c:v>0.0454545454545455</c:v>
                </c:pt>
                <c:pt idx="1">
                  <c:v>0.166666666666667</c:v>
                </c:pt>
                <c:pt idx="2">
                  <c:v>0.0666666666666667</c:v>
                </c:pt>
              </c:numCache>
            </c:numRef>
          </c:val>
        </c:ser>
        <c:ser>
          <c:idx val="3"/>
          <c:order val="3"/>
          <c:tx>
            <c:strRef>
              <c:f>Sheet2!$X$18</c:f>
              <c:strCache>
                <c:ptCount val="1"/>
                <c:pt idx="0">
                  <c:v>HI-FG</c:v>
                </c:pt>
              </c:strCache>
            </c:strRef>
          </c:tx>
          <c:spPr>
            <a:solidFill>
              <a:schemeClr val="accent2">
                <a:lumMod val="60000"/>
              </a:schemeClr>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Sheet2!$T$19:$T$21</c:f>
              <c:strCache>
                <c:ptCount val="3"/>
                <c:pt idx="0">
                  <c:v>Africa</c:v>
                </c:pt>
                <c:pt idx="1">
                  <c:v>Asia</c:v>
                </c:pt>
                <c:pt idx="2">
                  <c:v>Latin America</c:v>
                </c:pt>
              </c:strCache>
            </c:strRef>
          </c:cat>
          <c:val>
            <c:numRef>
              <c:f>Sheet2!$X$19:$X$21</c:f>
              <c:numCache>
                <c:formatCode>0%</c:formatCode>
                <c:ptCount val="3"/>
                <c:pt idx="0">
                  <c:v>0.0454545454545455</c:v>
                </c:pt>
                <c:pt idx="1">
                  <c:v>0.3</c:v>
                </c:pt>
                <c:pt idx="2">
                  <c:v>0.2</c:v>
                </c:pt>
              </c:numCache>
            </c:numRef>
          </c:val>
        </c:ser>
        <c:dLbls>
          <c:showLegendKey val="0"/>
          <c:showVal val="1"/>
          <c:showCatName val="0"/>
          <c:showSerName val="0"/>
          <c:showPercent val="0"/>
          <c:showBubbleSize val="0"/>
        </c:dLbls>
        <c:gapWidth val="54"/>
        <c:overlap val="100"/>
        <c:axId val="515141581"/>
        <c:axId val="430121534"/>
      </c:barChart>
      <c:catAx>
        <c:axId val="51514158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0121534"/>
        <c:crosses val="autoZero"/>
        <c:auto val="1"/>
        <c:lblAlgn val="ctr"/>
        <c:lblOffset val="100"/>
        <c:noMultiLvlLbl val="0"/>
      </c:catAx>
      <c:valAx>
        <c:axId val="430121534"/>
        <c:scaling>
          <c:orientation val="minMax"/>
          <c:max val="1"/>
        </c:scaling>
        <c:delete val="0"/>
        <c:axPos val="l"/>
        <c:majorGridlines>
          <c:spPr>
            <a:ln w="9525" cap="flat" cmpd="sng" algn="ctr">
              <a:solidFill>
                <a:schemeClr val="lt1">
                  <a:lumMod val="902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15141581"/>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94ac0677-7259-4f01-be99-0fbd7c1d4cb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Sheet2!$U$33</c:f>
              <c:strCache>
                <c:ptCount val="1"/>
                <c:pt idx="0">
                  <c:v>LC-SG</c:v>
                </c:pt>
              </c:strCache>
            </c:strRef>
          </c:tx>
          <c:spPr>
            <a:solidFill>
              <a:schemeClr val="accent1"/>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Sheet2!$T$34:$T$36</c:f>
              <c:strCache>
                <c:ptCount val="3"/>
                <c:pt idx="0">
                  <c:v>Africa</c:v>
                </c:pt>
                <c:pt idx="1">
                  <c:v>Asia</c:v>
                </c:pt>
                <c:pt idx="2">
                  <c:v>Latin America</c:v>
                </c:pt>
              </c:strCache>
            </c:strRef>
          </c:cat>
          <c:val>
            <c:numRef>
              <c:f>Sheet2!$U$34:$U$36</c:f>
              <c:numCache>
                <c:formatCode>0%</c:formatCode>
                <c:ptCount val="3"/>
                <c:pt idx="0">
                  <c:v>0.363636363636364</c:v>
                </c:pt>
                <c:pt idx="1">
                  <c:v>0.466666666666667</c:v>
                </c:pt>
                <c:pt idx="2">
                  <c:v>0.533333333333333</c:v>
                </c:pt>
              </c:numCache>
            </c:numRef>
          </c:val>
        </c:ser>
        <c:ser>
          <c:idx val="1"/>
          <c:order val="1"/>
          <c:tx>
            <c:strRef>
              <c:f>Sheet2!$V$33</c:f>
              <c:strCache>
                <c:ptCount val="1"/>
                <c:pt idx="0">
                  <c:v>LC-FG</c:v>
                </c:pt>
              </c:strCache>
            </c:strRef>
          </c:tx>
          <c:spPr>
            <a:solidFill>
              <a:schemeClr val="accent2"/>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Sheet2!$T$34:$T$36</c:f>
              <c:strCache>
                <c:ptCount val="3"/>
                <c:pt idx="0">
                  <c:v>Africa</c:v>
                </c:pt>
                <c:pt idx="1">
                  <c:v>Asia</c:v>
                </c:pt>
                <c:pt idx="2">
                  <c:v>Latin America</c:v>
                </c:pt>
              </c:strCache>
            </c:strRef>
          </c:cat>
          <c:val>
            <c:numRef>
              <c:f>Sheet2!$V$34:$V$36</c:f>
              <c:numCache>
                <c:formatCode>0%</c:formatCode>
                <c:ptCount val="3"/>
                <c:pt idx="0">
                  <c:v>0.227272727272727</c:v>
                </c:pt>
                <c:pt idx="1">
                  <c:v>0.366666666666667</c:v>
                </c:pt>
                <c:pt idx="2">
                  <c:v>0.333333333333333</c:v>
                </c:pt>
              </c:numCache>
            </c:numRef>
          </c:val>
        </c:ser>
        <c:ser>
          <c:idx val="2"/>
          <c:order val="2"/>
          <c:tx>
            <c:strRef>
              <c:f>Sheet2!$W$33</c:f>
              <c:strCache>
                <c:ptCount val="1"/>
                <c:pt idx="0">
                  <c:v>HC-SG</c:v>
                </c:pt>
              </c:strCache>
            </c:strRef>
          </c:tx>
          <c:spPr>
            <a:solidFill>
              <a:schemeClr val="accent3"/>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Sheet2!$T$34:$T$36</c:f>
              <c:strCache>
                <c:ptCount val="3"/>
                <c:pt idx="0">
                  <c:v>Africa</c:v>
                </c:pt>
                <c:pt idx="1">
                  <c:v>Asia</c:v>
                </c:pt>
                <c:pt idx="2">
                  <c:v>Latin America</c:v>
                </c:pt>
              </c:strCache>
            </c:strRef>
          </c:cat>
          <c:val>
            <c:numRef>
              <c:f>Sheet2!$W$34:$W$36</c:f>
              <c:numCache>
                <c:formatCode>0%</c:formatCode>
                <c:ptCount val="3"/>
                <c:pt idx="0">
                  <c:v>0</c:v>
                </c:pt>
                <c:pt idx="1">
                  <c:v>0.0333333333333333</c:v>
                </c:pt>
                <c:pt idx="2">
                  <c:v>0</c:v>
                </c:pt>
              </c:numCache>
            </c:numRef>
          </c:val>
        </c:ser>
        <c:ser>
          <c:idx val="3"/>
          <c:order val="3"/>
          <c:tx>
            <c:strRef>
              <c:f>Sheet2!$X$33</c:f>
              <c:strCache>
                <c:ptCount val="1"/>
                <c:pt idx="0">
                  <c:v>HC-FG</c:v>
                </c:pt>
              </c:strCache>
            </c:strRef>
          </c:tx>
          <c:spPr>
            <a:solidFill>
              <a:schemeClr val="accent4"/>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Sheet2!$T$34:$T$36</c:f>
              <c:strCache>
                <c:ptCount val="3"/>
                <c:pt idx="0">
                  <c:v>Africa</c:v>
                </c:pt>
                <c:pt idx="1">
                  <c:v>Asia</c:v>
                </c:pt>
                <c:pt idx="2">
                  <c:v>Latin America</c:v>
                </c:pt>
              </c:strCache>
            </c:strRef>
          </c:cat>
          <c:val>
            <c:numRef>
              <c:f>Sheet2!$X$34:$X$36</c:f>
              <c:numCache>
                <c:formatCode>0%</c:formatCode>
                <c:ptCount val="3"/>
                <c:pt idx="0">
                  <c:v>0.409090909090909</c:v>
                </c:pt>
                <c:pt idx="1">
                  <c:v>0.133333333333333</c:v>
                </c:pt>
                <c:pt idx="2">
                  <c:v>0.133333333333333</c:v>
                </c:pt>
              </c:numCache>
            </c:numRef>
          </c:val>
        </c:ser>
        <c:dLbls>
          <c:showLegendKey val="0"/>
          <c:showVal val="1"/>
          <c:showCatName val="0"/>
          <c:showSerName val="0"/>
          <c:showPercent val="0"/>
          <c:showBubbleSize val="0"/>
        </c:dLbls>
        <c:gapWidth val="54"/>
        <c:overlap val="100"/>
        <c:axId val="864058613"/>
        <c:axId val="414164983"/>
      </c:barChart>
      <c:catAx>
        <c:axId val="864058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14164983"/>
        <c:crosses val="autoZero"/>
        <c:auto val="1"/>
        <c:lblAlgn val="ctr"/>
        <c:lblOffset val="100"/>
        <c:noMultiLvlLbl val="0"/>
      </c:catAx>
      <c:valAx>
        <c:axId val="414164983"/>
        <c:scaling>
          <c:orientation val="minMax"/>
          <c:max val="1"/>
        </c:scaling>
        <c:delete val="0"/>
        <c:axPos val="l"/>
        <c:majorGridlines>
          <c:spPr>
            <a:ln w="9525" cap="flat" cmpd="sng" algn="ctr">
              <a:solidFill>
                <a:schemeClr val="lt1">
                  <a:lumMod val="902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64058613"/>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bab19804-f4c2-4642-9de8-99d2b0eed63c}"/>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Sheet2!$U$48</c:f>
              <c:strCache>
                <c:ptCount val="1"/>
                <c:pt idx="0">
                  <c:v>LI-SG</c:v>
                </c:pt>
              </c:strCache>
            </c:strRef>
          </c:tx>
          <c:spPr>
            <a:solidFill>
              <a:schemeClr val="accent2"/>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Sheet2!$T$49:$T$51</c:f>
              <c:strCache>
                <c:ptCount val="3"/>
                <c:pt idx="0">
                  <c:v>Africa</c:v>
                </c:pt>
                <c:pt idx="1">
                  <c:v>Asia</c:v>
                </c:pt>
                <c:pt idx="2">
                  <c:v>Latin America</c:v>
                </c:pt>
              </c:strCache>
            </c:strRef>
          </c:cat>
          <c:val>
            <c:numRef>
              <c:f>Sheet2!$U$49:$U$51</c:f>
              <c:numCache>
                <c:formatCode>0%</c:formatCode>
                <c:ptCount val="3"/>
                <c:pt idx="0">
                  <c:v>0.431818181818182</c:v>
                </c:pt>
                <c:pt idx="1">
                  <c:v>0.266666666666667</c:v>
                </c:pt>
                <c:pt idx="2">
                  <c:v>0.533333333333333</c:v>
                </c:pt>
              </c:numCache>
            </c:numRef>
          </c:val>
        </c:ser>
        <c:ser>
          <c:idx val="1"/>
          <c:order val="1"/>
          <c:tx>
            <c:strRef>
              <c:f>Sheet2!$V$48</c:f>
              <c:strCache>
                <c:ptCount val="1"/>
                <c:pt idx="0">
                  <c:v>LI-FG</c:v>
                </c:pt>
              </c:strCache>
            </c:strRef>
          </c:tx>
          <c:spPr>
            <a:solidFill>
              <a:schemeClr val="accent4"/>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Sheet2!$T$49:$T$51</c:f>
              <c:strCache>
                <c:ptCount val="3"/>
                <c:pt idx="0">
                  <c:v>Africa</c:v>
                </c:pt>
                <c:pt idx="1">
                  <c:v>Asia</c:v>
                </c:pt>
                <c:pt idx="2">
                  <c:v>Latin America</c:v>
                </c:pt>
              </c:strCache>
            </c:strRef>
          </c:cat>
          <c:val>
            <c:numRef>
              <c:f>Sheet2!$V$49:$V$51</c:f>
              <c:numCache>
                <c:formatCode>0%</c:formatCode>
                <c:ptCount val="3"/>
                <c:pt idx="0">
                  <c:v>0.409090909090909</c:v>
                </c:pt>
                <c:pt idx="1">
                  <c:v>0.166666666666667</c:v>
                </c:pt>
                <c:pt idx="2">
                  <c:v>0.166666666666667</c:v>
                </c:pt>
              </c:numCache>
            </c:numRef>
          </c:val>
        </c:ser>
        <c:ser>
          <c:idx val="2"/>
          <c:order val="2"/>
          <c:tx>
            <c:strRef>
              <c:f>Sheet2!$W$48</c:f>
              <c:strCache>
                <c:ptCount val="1"/>
                <c:pt idx="0">
                  <c:v>HI-SG</c:v>
                </c:pt>
              </c:strCache>
            </c:strRef>
          </c:tx>
          <c:spPr>
            <a:solidFill>
              <a:schemeClr val="accent6"/>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Sheet2!$T$49:$T$51</c:f>
              <c:strCache>
                <c:ptCount val="3"/>
                <c:pt idx="0">
                  <c:v>Africa</c:v>
                </c:pt>
                <c:pt idx="1">
                  <c:v>Asia</c:v>
                </c:pt>
                <c:pt idx="2">
                  <c:v>Latin America</c:v>
                </c:pt>
              </c:strCache>
            </c:strRef>
          </c:cat>
          <c:val>
            <c:numRef>
              <c:f>Sheet2!$W$49:$W$51</c:f>
              <c:numCache>
                <c:formatCode>0%</c:formatCode>
                <c:ptCount val="3"/>
                <c:pt idx="0">
                  <c:v>0.0454545454545455</c:v>
                </c:pt>
                <c:pt idx="1">
                  <c:v>0.3</c:v>
                </c:pt>
                <c:pt idx="2">
                  <c:v>0.0333333333333333</c:v>
                </c:pt>
              </c:numCache>
            </c:numRef>
          </c:val>
        </c:ser>
        <c:ser>
          <c:idx val="3"/>
          <c:order val="3"/>
          <c:tx>
            <c:strRef>
              <c:f>Sheet2!$X$48</c:f>
              <c:strCache>
                <c:ptCount val="1"/>
                <c:pt idx="0">
                  <c:v>HI-FG</c:v>
                </c:pt>
              </c:strCache>
            </c:strRef>
          </c:tx>
          <c:spPr>
            <a:solidFill>
              <a:schemeClr val="accent2">
                <a:lumMod val="60000"/>
              </a:schemeClr>
            </a:solidFill>
            <a:ln>
              <a:solidFill>
                <a:schemeClr val="bg1"/>
              </a:solid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Sheet2!$T$49:$T$51</c:f>
              <c:strCache>
                <c:ptCount val="3"/>
                <c:pt idx="0">
                  <c:v>Africa</c:v>
                </c:pt>
                <c:pt idx="1">
                  <c:v>Asia</c:v>
                </c:pt>
                <c:pt idx="2">
                  <c:v>Latin America</c:v>
                </c:pt>
              </c:strCache>
            </c:strRef>
          </c:cat>
          <c:val>
            <c:numRef>
              <c:f>Sheet2!$X$49:$X$51</c:f>
              <c:numCache>
                <c:formatCode>0%</c:formatCode>
                <c:ptCount val="3"/>
                <c:pt idx="0">
                  <c:v>0.113636363636364</c:v>
                </c:pt>
                <c:pt idx="1">
                  <c:v>0.266666666666667</c:v>
                </c:pt>
                <c:pt idx="2">
                  <c:v>0.266666666666667</c:v>
                </c:pt>
              </c:numCache>
            </c:numRef>
          </c:val>
        </c:ser>
        <c:dLbls>
          <c:showLegendKey val="0"/>
          <c:showVal val="1"/>
          <c:showCatName val="0"/>
          <c:showSerName val="0"/>
          <c:showPercent val="0"/>
          <c:showBubbleSize val="0"/>
        </c:dLbls>
        <c:gapWidth val="54"/>
        <c:overlap val="100"/>
        <c:axId val="515141581"/>
        <c:axId val="430121534"/>
      </c:barChart>
      <c:catAx>
        <c:axId val="51514158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0121534"/>
        <c:crosses val="autoZero"/>
        <c:auto val="1"/>
        <c:lblAlgn val="ctr"/>
        <c:lblOffset val="100"/>
        <c:noMultiLvlLbl val="0"/>
      </c:catAx>
      <c:valAx>
        <c:axId val="430121534"/>
        <c:scaling>
          <c:orientation val="minMax"/>
          <c:max val="1"/>
        </c:scaling>
        <c:delete val="0"/>
        <c:axPos val="l"/>
        <c:majorGridlines>
          <c:spPr>
            <a:ln w="9525" cap="flat" cmpd="sng" algn="ctr">
              <a:solidFill>
                <a:schemeClr val="lt1">
                  <a:lumMod val="902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15141581"/>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80ab477-e90b-4b03-a63e-2f8def5d9791}"/>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1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1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1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1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369570</xdr:colOff>
      <xdr:row>1</xdr:row>
      <xdr:rowOff>10160</xdr:rowOff>
    </xdr:from>
    <xdr:to>
      <xdr:col>28</xdr:col>
      <xdr:colOff>387985</xdr:colOff>
      <xdr:row>14</xdr:row>
      <xdr:rowOff>41910</xdr:rowOff>
    </xdr:to>
    <xdr:graphicFrame>
      <xdr:nvGraphicFramePr>
        <xdr:cNvPr id="3" name="图表 2"/>
        <xdr:cNvGraphicFramePr/>
      </xdr:nvGraphicFramePr>
      <xdr:xfrm>
        <a:off x="18012410" y="176530"/>
        <a:ext cx="2601595" cy="256603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435610</xdr:colOff>
      <xdr:row>16</xdr:row>
      <xdr:rowOff>139700</xdr:rowOff>
    </xdr:from>
    <xdr:to>
      <xdr:col>28</xdr:col>
      <xdr:colOff>488315</xdr:colOff>
      <xdr:row>30</xdr:row>
      <xdr:rowOff>56515</xdr:rowOff>
    </xdr:to>
    <xdr:graphicFrame>
      <xdr:nvGraphicFramePr>
        <xdr:cNvPr id="4" name="图表 3"/>
        <xdr:cNvGraphicFramePr/>
      </xdr:nvGraphicFramePr>
      <xdr:xfrm>
        <a:off x="18078450" y="3173095"/>
        <a:ext cx="2635885" cy="25984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478790</xdr:colOff>
      <xdr:row>1</xdr:row>
      <xdr:rowOff>12700</xdr:rowOff>
    </xdr:from>
    <xdr:to>
      <xdr:col>32</xdr:col>
      <xdr:colOff>497205</xdr:colOff>
      <xdr:row>14</xdr:row>
      <xdr:rowOff>44450</xdr:rowOff>
    </xdr:to>
    <xdr:graphicFrame>
      <xdr:nvGraphicFramePr>
        <xdr:cNvPr id="6" name="图表 5"/>
        <xdr:cNvGraphicFramePr/>
      </xdr:nvGraphicFramePr>
      <xdr:xfrm>
        <a:off x="20704810" y="179070"/>
        <a:ext cx="2601595" cy="256603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536575</xdr:colOff>
      <xdr:row>16</xdr:row>
      <xdr:rowOff>160655</xdr:rowOff>
    </xdr:from>
    <xdr:to>
      <xdr:col>32</xdr:col>
      <xdr:colOff>589280</xdr:colOff>
      <xdr:row>30</xdr:row>
      <xdr:rowOff>77470</xdr:rowOff>
    </xdr:to>
    <xdr:graphicFrame>
      <xdr:nvGraphicFramePr>
        <xdr:cNvPr id="7" name="图表 6"/>
        <xdr:cNvGraphicFramePr/>
      </xdr:nvGraphicFramePr>
      <xdr:xfrm>
        <a:off x="20762595" y="3194050"/>
        <a:ext cx="2635885" cy="25984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5"/>
  <sheetViews>
    <sheetView zoomScale="160" zoomScaleNormal="160" workbookViewId="0">
      <selection activeCell="J19" sqref="J19"/>
    </sheetView>
  </sheetViews>
  <sheetFormatPr defaultColWidth="9" defaultRowHeight="13.1"/>
  <cols>
    <col min="2" max="2" width="21.4778761061947" customWidth="1"/>
    <col min="3" max="3" width="11.1681415929204" customWidth="1"/>
    <col min="4" max="4" width="7.26548672566372" customWidth="1"/>
    <col min="5" max="5" width="7.64601769911504" customWidth="1"/>
    <col min="6" max="6" width="7.50442477876106" customWidth="1"/>
    <col min="7" max="7" width="6.55752212389381" customWidth="1"/>
    <col min="8" max="8" width="7.50442477876106" customWidth="1"/>
    <col min="9" max="9" width="7.64601769911504" customWidth="1"/>
  </cols>
  <sheetData>
    <row r="1" ht="13.85" spans="1:9">
      <c r="C1" s="10" t="s">
        <v>0</v>
      </c>
      <c r="D1" s="10"/>
      <c r="E1" s="10"/>
      <c r="F1" s="10"/>
      <c r="G1" s="10" t="s">
        <v>1</v>
      </c>
      <c r="H1" s="10"/>
      <c r="I1" s="10"/>
    </row>
    <row r="2" ht="13.85" spans="1:9">
      <c r="A2" s="2"/>
      <c r="B2" s="2"/>
      <c r="C2" s="2" t="s">
        <v>2</v>
      </c>
      <c r="D2" s="2" t="s">
        <v>3</v>
      </c>
      <c r="E2" s="2" t="s">
        <v>4</v>
      </c>
      <c r="F2" s="2" t="s">
        <v>5</v>
      </c>
      <c r="G2" s="2" t="s">
        <v>6</v>
      </c>
      <c r="H2" s="2" t="s">
        <v>7</v>
      </c>
      <c r="I2" s="2" t="s">
        <v>8</v>
      </c>
    </row>
    <row r="3" ht="13.85" spans="1:9">
      <c r="A3" s="10">
        <v>2016</v>
      </c>
      <c r="B3" s="11" t="s">
        <v>9</v>
      </c>
      <c r="C3" s="12">
        <v>0.448948306220165</v>
      </c>
      <c r="D3" s="13">
        <v>0.264022729777518</v>
      </c>
      <c r="E3" s="12">
        <v>0.390094331827942</v>
      </c>
      <c r="F3" s="14">
        <v>-0.0879594583782512</v>
      </c>
      <c r="G3" s="13">
        <v>6.5767040071344</v>
      </c>
      <c r="H3" s="14">
        <v>-0.0480366427101794</v>
      </c>
      <c r="I3" s="15">
        <v>0.00157466542786129</v>
      </c>
    </row>
    <row r="4" ht="13.85" spans="1:9">
      <c r="A4" s="10"/>
      <c r="B4" s="11" t="s">
        <v>10</v>
      </c>
      <c r="C4" s="12">
        <v>0.356747646607072</v>
      </c>
      <c r="D4" s="13">
        <v>0.329581447769612</v>
      </c>
      <c r="E4" s="12">
        <v>0.507492004878983</v>
      </c>
      <c r="F4" s="14">
        <v>-0.0902731151296892</v>
      </c>
      <c r="G4" s="13">
        <v>8.66607761814888</v>
      </c>
      <c r="H4" s="14">
        <v>-0.0856210933152766</v>
      </c>
      <c r="I4" s="15">
        <v>0.00437950241064278</v>
      </c>
    </row>
    <row r="5" ht="13.85" spans="1:9">
      <c r="A5" s="10"/>
      <c r="B5" s="11" t="s">
        <v>11</v>
      </c>
      <c r="C5" s="12">
        <v>0.329264272846526</v>
      </c>
      <c r="D5" s="13">
        <v>0.320650377126286</v>
      </c>
      <c r="E5" s="12">
        <v>0.466788329316526</v>
      </c>
      <c r="F5" s="14">
        <v>-0.07910436</v>
      </c>
      <c r="G5" s="13">
        <v>8.19618336361532</v>
      </c>
      <c r="H5" s="14">
        <v>-0.099181008</v>
      </c>
      <c r="I5" s="15">
        <v>0.00608611864463046</v>
      </c>
    </row>
    <row r="6" ht="13.85" spans="1:9">
      <c r="A6" s="10">
        <v>2023</v>
      </c>
      <c r="B6" s="11" t="s">
        <v>9</v>
      </c>
      <c r="C6" s="12">
        <v>0.436580393759656</v>
      </c>
      <c r="D6" s="13">
        <v>0.268699772888454</v>
      </c>
      <c r="E6" s="12">
        <v>0.402820381354097</v>
      </c>
      <c r="F6" s="14">
        <v>-0.0920187706474676</v>
      </c>
      <c r="G6" s="13">
        <v>6.63566809664703</v>
      </c>
      <c r="H6" s="14">
        <v>-0.0574822625857788</v>
      </c>
      <c r="I6" s="15">
        <v>0.00215790203846159</v>
      </c>
    </row>
    <row r="7" ht="13.85" spans="1:9">
      <c r="A7" s="10"/>
      <c r="B7" s="11" t="s">
        <v>10</v>
      </c>
      <c r="C7" s="12">
        <v>0.347118883511624</v>
      </c>
      <c r="D7" s="13">
        <v>0.329969212019647</v>
      </c>
      <c r="E7" s="12">
        <v>0.518077952804233</v>
      </c>
      <c r="F7" s="14">
        <v>-0.0897966975120865</v>
      </c>
      <c r="G7" s="13">
        <v>8.30693019547158</v>
      </c>
      <c r="H7" s="14">
        <v>-0.0886117035949616</v>
      </c>
      <c r="I7" s="15">
        <v>0.00433668267934377</v>
      </c>
    </row>
    <row r="8" ht="13.85" spans="1:9">
      <c r="A8" s="10"/>
      <c r="B8" s="11" t="s">
        <v>11</v>
      </c>
      <c r="C8" s="12">
        <v>0.330869965617461</v>
      </c>
      <c r="D8" s="13">
        <v>0.316651215665502</v>
      </c>
      <c r="E8" s="12">
        <v>0.470934036220277</v>
      </c>
      <c r="F8" s="14">
        <v>-0.075023396696827</v>
      </c>
      <c r="G8" s="13">
        <v>8.02494328614703</v>
      </c>
      <c r="H8" s="14">
        <v>-0.0982398803346484</v>
      </c>
      <c r="I8" s="15">
        <v>0.00647805830648895</v>
      </c>
    </row>
    <row r="11" spans="1:9">
      <c r="B11" s="1"/>
    </row>
    <row r="12" spans="1:9">
      <c r="B12" s="1"/>
    </row>
    <row r="13" spans="1:9">
      <c r="B13" s="1"/>
    </row>
    <row r="14" spans="1:9">
      <c r="A14" s="1"/>
      <c r="B14" s="1"/>
    </row>
    <row r="15" spans="1:9">
      <c r="A15" s="1"/>
      <c r="B15" s="1"/>
    </row>
    <row r="16" spans="1:9">
      <c r="A16" s="1"/>
      <c r="B16" s="1"/>
    </row>
    <row r="17" spans="1:2">
      <c r="A17" s="1"/>
      <c r="B17" s="1"/>
    </row>
    <row r="18" spans="1:2">
      <c r="A18" s="1"/>
    </row>
    <row r="19" spans="1:2">
      <c r="A19" s="1"/>
    </row>
    <row r="20" spans="1:2">
      <c r="A20" s="1"/>
    </row>
    <row r="21" spans="1:2">
      <c r="A21" s="1"/>
    </row>
    <row r="22" spans="1:2">
      <c r="A22" s="1"/>
    </row>
    <row r="23" spans="1:2">
      <c r="A23" s="1"/>
    </row>
    <row r="24" spans="1:2">
      <c r="A24" s="1"/>
    </row>
    <row r="25" spans="1:2">
      <c r="A25" s="1"/>
    </row>
  </sheetData>
  <mergeCells count="4">
    <mergeCell ref="C1:F1"/>
    <mergeCell ref="G1:I1"/>
    <mergeCell ref="A3:A5"/>
    <mergeCell ref="A6:A8"/>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X80"/>
  <sheetViews>
    <sheetView tabSelected="1" zoomScale="70" zoomScaleNormal="70" workbookViewId="0">
      <selection activeCell="W28" sqref="W28"/>
    </sheetView>
  </sheetViews>
  <sheetFormatPr defaultColWidth="9" defaultRowHeight="13.1"/>
  <cols>
    <col min="12" max="12" width="12.6283185840708"/>
    <col min="14" max="14" width="29.2477876106195" customWidth="1"/>
    <col min="15" max="15" width="14" customWidth="1"/>
    <col min="17" max="17" width="5.75221238938053" customWidth="1"/>
    <col min="20" max="20" width="13.2477876106195" customWidth="1"/>
  </cols>
  <sheetData>
    <row r="1" spans="2:24">
      <c r="B1" s="1" t="s">
        <v>12</v>
      </c>
      <c r="H1" s="1" t="s">
        <v>13</v>
      </c>
    </row>
    <row r="2" ht="15.35" spans="2:24">
      <c r="B2" s="1" t="s">
        <v>14</v>
      </c>
      <c r="H2" s="1" t="s">
        <v>14</v>
      </c>
      <c r="N2" s="2" t="s">
        <v>15</v>
      </c>
      <c r="T2" s="3"/>
      <c r="U2" s="4" t="s">
        <v>16</v>
      </c>
      <c r="V2" s="4" t="s">
        <v>17</v>
      </c>
      <c r="W2" s="4" t="s">
        <v>18</v>
      </c>
      <c r="X2" s="4" t="s">
        <v>19</v>
      </c>
    </row>
    <row r="3" ht="15.35" spans="2:24">
      <c r="B3" s="1" t="s">
        <v>20</v>
      </c>
      <c r="H3" s="1" t="s">
        <v>21</v>
      </c>
      <c r="L3">
        <f>(47+46)/(104*2)</f>
        <v>0.447115384615385</v>
      </c>
      <c r="N3" s="5" t="s">
        <v>22</v>
      </c>
      <c r="O3" s="6" t="s">
        <v>9</v>
      </c>
      <c r="P3" s="7">
        <v>16</v>
      </c>
      <c r="Q3" s="8">
        <v>0.363636363636364</v>
      </c>
      <c r="R3" s="5">
        <v>47</v>
      </c>
      <c r="T3" s="4" t="s">
        <v>9</v>
      </c>
      <c r="U3" s="8">
        <v>0.363636363636364</v>
      </c>
      <c r="V3" s="8">
        <v>0.227272727272727</v>
      </c>
      <c r="W3" s="8">
        <v>0</v>
      </c>
      <c r="X3" s="8">
        <v>0.409090909090909</v>
      </c>
    </row>
    <row r="4" ht="15.35" spans="2:24">
      <c r="B4" s="1" t="s">
        <v>23</v>
      </c>
      <c r="H4" s="1" t="s">
        <v>24</v>
      </c>
      <c r="L4">
        <f>(29+31)/208</f>
        <v>0.288461538461538</v>
      </c>
      <c r="N4" s="5"/>
      <c r="O4" s="6" t="s">
        <v>25</v>
      </c>
      <c r="P4" s="7">
        <v>15</v>
      </c>
      <c r="Q4" s="8">
        <v>0.5</v>
      </c>
      <c r="R4" s="5"/>
      <c r="T4" s="4" t="s">
        <v>25</v>
      </c>
      <c r="U4" s="8">
        <v>0.5</v>
      </c>
      <c r="V4" s="8">
        <v>0.3</v>
      </c>
      <c r="W4" s="8">
        <v>0.0333333333333333</v>
      </c>
      <c r="X4" s="8">
        <v>0.166666666666667</v>
      </c>
    </row>
    <row r="5" ht="15.35" spans="2:24">
      <c r="B5" s="1" t="s">
        <v>26</v>
      </c>
      <c r="H5" s="1" t="s">
        <v>27</v>
      </c>
      <c r="L5">
        <f>(27+26)/208</f>
        <v>0.254807692307692</v>
      </c>
      <c r="N5" s="5"/>
      <c r="O5" s="6" t="s">
        <v>11</v>
      </c>
      <c r="P5" s="7">
        <v>16</v>
      </c>
      <c r="Q5" s="8">
        <v>0.533333333333333</v>
      </c>
      <c r="R5" s="5"/>
      <c r="T5" s="4" t="s">
        <v>11</v>
      </c>
      <c r="U5" s="8">
        <v>0.533333333333333</v>
      </c>
      <c r="V5" s="8">
        <v>0.333333333333333</v>
      </c>
      <c r="W5" s="8">
        <v>0</v>
      </c>
      <c r="X5" s="8">
        <v>0.133333333333333</v>
      </c>
    </row>
    <row r="6" ht="15.35" spans="2:24">
      <c r="B6" s="1" t="s">
        <v>28</v>
      </c>
      <c r="H6" s="1" t="s">
        <v>28</v>
      </c>
      <c r="L6">
        <f>2/208</f>
        <v>0.00961538461538462</v>
      </c>
      <c r="N6" s="5" t="s">
        <v>29</v>
      </c>
      <c r="O6" s="6" t="s">
        <v>9</v>
      </c>
      <c r="P6" s="7">
        <v>10</v>
      </c>
      <c r="Q6" s="8">
        <v>0.227272727272727</v>
      </c>
      <c r="R6" s="5">
        <v>29</v>
      </c>
    </row>
    <row r="7" ht="15.35" spans="2:24">
      <c r="B7" s="1" t="s">
        <v>30</v>
      </c>
      <c r="H7" s="1" t="s">
        <v>30</v>
      </c>
      <c r="N7" s="5"/>
      <c r="O7" s="6" t="s">
        <v>25</v>
      </c>
      <c r="P7" s="7">
        <v>9</v>
      </c>
      <c r="Q7" s="8">
        <v>0.3</v>
      </c>
      <c r="R7" s="5"/>
    </row>
    <row r="8" ht="15.35" spans="2:24">
      <c r="N8" s="5"/>
      <c r="O8" s="6" t="s">
        <v>11</v>
      </c>
      <c r="P8" s="7">
        <v>10</v>
      </c>
      <c r="Q8" s="8">
        <v>0.333333333333333</v>
      </c>
      <c r="R8" s="5"/>
    </row>
    <row r="9" ht="15.35" spans="2:24">
      <c r="B9" s="1" t="s">
        <v>31</v>
      </c>
      <c r="H9" s="1" t="s">
        <v>31</v>
      </c>
      <c r="N9" s="5" t="s">
        <v>32</v>
      </c>
      <c r="O9" s="6" t="s">
        <v>9</v>
      </c>
      <c r="P9" s="7">
        <v>0</v>
      </c>
      <c r="Q9" s="8">
        <v>0</v>
      </c>
      <c r="R9" s="5">
        <v>1</v>
      </c>
    </row>
    <row r="10" ht="15.35" spans="2:24">
      <c r="B10" s="1" t="s">
        <v>33</v>
      </c>
      <c r="H10" s="1" t="s">
        <v>33</v>
      </c>
      <c r="N10" s="5"/>
      <c r="O10" s="6" t="s">
        <v>25</v>
      </c>
      <c r="P10" s="7">
        <v>1</v>
      </c>
      <c r="Q10" s="8">
        <v>0.0333333333333333</v>
      </c>
      <c r="R10" s="5"/>
    </row>
    <row r="11" ht="15.35" spans="2:24">
      <c r="B11" s="1" t="s">
        <v>34</v>
      </c>
      <c r="H11" s="1" t="s">
        <v>34</v>
      </c>
      <c r="N11" s="5"/>
      <c r="O11" s="6" t="s">
        <v>11</v>
      </c>
      <c r="P11" s="7">
        <v>0</v>
      </c>
      <c r="Q11" s="8">
        <v>0</v>
      </c>
      <c r="R11" s="5"/>
    </row>
    <row r="12" ht="15.35" spans="2:24">
      <c r="B12" s="1" t="s">
        <v>35</v>
      </c>
      <c r="H12" s="1" t="s">
        <v>35</v>
      </c>
      <c r="N12" s="5" t="s">
        <v>36</v>
      </c>
      <c r="O12" s="6" t="s">
        <v>9</v>
      </c>
      <c r="P12" s="7">
        <v>18</v>
      </c>
      <c r="Q12" s="8">
        <v>0.409090909090909</v>
      </c>
      <c r="R12" s="5">
        <v>27</v>
      </c>
    </row>
    <row r="13" ht="15.35" spans="2:24">
      <c r="B13" s="1" t="s">
        <v>37</v>
      </c>
      <c r="H13" s="1" t="s">
        <v>38</v>
      </c>
      <c r="N13" s="5"/>
      <c r="O13" s="6" t="s">
        <v>25</v>
      </c>
      <c r="P13" s="7">
        <v>5</v>
      </c>
      <c r="Q13" s="8">
        <v>0.166666666666667</v>
      </c>
      <c r="R13" s="5"/>
    </row>
    <row r="14" ht="15.35" spans="2:24">
      <c r="B14" s="1" t="s">
        <v>39</v>
      </c>
      <c r="H14" s="1" t="s">
        <v>39</v>
      </c>
      <c r="N14" s="5"/>
      <c r="O14" s="6" t="s">
        <v>11</v>
      </c>
      <c r="P14" s="7">
        <v>4</v>
      </c>
      <c r="Q14" s="8">
        <v>0.133333333333333</v>
      </c>
      <c r="R14" s="5"/>
    </row>
    <row r="16" spans="2:24">
      <c r="B16" s="1" t="s">
        <v>40</v>
      </c>
      <c r="H16" s="1" t="s">
        <v>40</v>
      </c>
    </row>
    <row r="17" ht="13.85" spans="2:24">
      <c r="B17" s="1" t="s">
        <v>34</v>
      </c>
      <c r="H17" s="1" t="s">
        <v>34</v>
      </c>
      <c r="N17" s="2" t="s">
        <v>41</v>
      </c>
      <c r="Q17" s="9"/>
    </row>
    <row r="18" ht="15.35" spans="2:24">
      <c r="B18" s="1" t="s">
        <v>42</v>
      </c>
      <c r="H18" s="1" t="s">
        <v>42</v>
      </c>
      <c r="N18" s="5" t="s">
        <v>43</v>
      </c>
      <c r="O18" s="6" t="s">
        <v>9</v>
      </c>
      <c r="P18" s="7">
        <v>20</v>
      </c>
      <c r="Q18" s="8">
        <v>0.454545454545455</v>
      </c>
      <c r="R18" s="5">
        <v>45</v>
      </c>
      <c r="T18" s="3"/>
      <c r="U18" s="4" t="s">
        <v>44</v>
      </c>
      <c r="V18" s="4" t="s">
        <v>45</v>
      </c>
      <c r="W18" s="4" t="s">
        <v>46</v>
      </c>
      <c r="X18" s="4" t="s">
        <v>47</v>
      </c>
    </row>
    <row r="19" ht="15.35" spans="2:24">
      <c r="B19" s="1" t="s">
        <v>48</v>
      </c>
      <c r="H19" s="1" t="s">
        <v>48</v>
      </c>
      <c r="N19" s="5"/>
      <c r="O19" s="6" t="s">
        <v>25</v>
      </c>
      <c r="P19" s="7">
        <v>10</v>
      </c>
      <c r="Q19" s="8">
        <v>0.333333333333333</v>
      </c>
      <c r="R19" s="5"/>
      <c r="T19" s="4" t="s">
        <v>9</v>
      </c>
      <c r="U19" s="8">
        <v>0.454545454545455</v>
      </c>
      <c r="V19" s="8">
        <v>0.454545454545455</v>
      </c>
      <c r="W19" s="8">
        <v>0.0454545454545455</v>
      </c>
      <c r="X19" s="8">
        <v>0.0454545454545455</v>
      </c>
    </row>
    <row r="20" ht="15.35" spans="2:24">
      <c r="B20" s="1" t="s">
        <v>49</v>
      </c>
      <c r="H20" s="1" t="s">
        <v>49</v>
      </c>
      <c r="N20" s="5"/>
      <c r="O20" s="6" t="s">
        <v>11</v>
      </c>
      <c r="P20" s="7">
        <v>15</v>
      </c>
      <c r="Q20" s="8">
        <v>0.5</v>
      </c>
      <c r="R20" s="5"/>
      <c r="T20" s="4" t="s">
        <v>25</v>
      </c>
      <c r="U20" s="8">
        <v>0.333333333333333</v>
      </c>
      <c r="V20" s="8">
        <v>0.2</v>
      </c>
      <c r="W20" s="8">
        <v>0.166666666666667</v>
      </c>
      <c r="X20" s="8">
        <v>0.3</v>
      </c>
    </row>
    <row r="21" ht="15.35" spans="2:24">
      <c r="N21" s="5" t="s">
        <v>50</v>
      </c>
      <c r="O21" s="6" t="s">
        <v>9</v>
      </c>
      <c r="P21" s="7">
        <v>20</v>
      </c>
      <c r="Q21" s="8">
        <v>0.454545454545455</v>
      </c>
      <c r="R21" s="5">
        <v>33</v>
      </c>
      <c r="T21" s="4" t="s">
        <v>11</v>
      </c>
      <c r="U21" s="8">
        <v>0.5</v>
      </c>
      <c r="V21" s="8">
        <v>0.233333333333333</v>
      </c>
      <c r="W21" s="8">
        <v>0.0666666666666667</v>
      </c>
      <c r="X21" s="8">
        <v>0.2</v>
      </c>
    </row>
    <row r="22" ht="15.35" spans="2:24">
      <c r="B22" s="1" t="s">
        <v>51</v>
      </c>
      <c r="H22" s="1" t="s">
        <v>51</v>
      </c>
      <c r="N22" s="5"/>
      <c r="O22" s="6" t="s">
        <v>25</v>
      </c>
      <c r="P22" s="7">
        <v>6</v>
      </c>
      <c r="Q22" s="8">
        <v>0.2</v>
      </c>
      <c r="R22" s="5"/>
    </row>
    <row r="23" ht="15.35" spans="2:24">
      <c r="B23" s="1" t="s">
        <v>34</v>
      </c>
      <c r="H23" s="1" t="s">
        <v>34</v>
      </c>
      <c r="N23" s="5"/>
      <c r="O23" s="6" t="s">
        <v>11</v>
      </c>
      <c r="P23" s="7">
        <v>7</v>
      </c>
      <c r="Q23" s="8">
        <v>0.233333333333333</v>
      </c>
      <c r="R23" s="5"/>
    </row>
    <row r="24" ht="15.35" spans="2:24">
      <c r="B24" s="1" t="s">
        <v>52</v>
      </c>
      <c r="H24" s="1" t="s">
        <v>52</v>
      </c>
      <c r="N24" s="5" t="s">
        <v>53</v>
      </c>
      <c r="O24" s="6" t="s">
        <v>9</v>
      </c>
      <c r="P24" s="7">
        <v>2</v>
      </c>
      <c r="Q24" s="8">
        <v>0.0454545454545455</v>
      </c>
      <c r="R24" s="5">
        <v>9</v>
      </c>
    </row>
    <row r="25" ht="15.35" spans="2:24">
      <c r="B25" s="1" t="s">
        <v>54</v>
      </c>
      <c r="H25" s="1" t="s">
        <v>55</v>
      </c>
      <c r="N25" s="5"/>
      <c r="O25" s="6" t="s">
        <v>25</v>
      </c>
      <c r="P25" s="7">
        <v>5</v>
      </c>
      <c r="Q25" s="8">
        <v>0.166666666666667</v>
      </c>
      <c r="R25" s="5"/>
    </row>
    <row r="26" ht="15.35" spans="2:24">
      <c r="B26" s="1" t="s">
        <v>56</v>
      </c>
      <c r="H26" s="1" t="s">
        <v>56</v>
      </c>
      <c r="N26" s="5"/>
      <c r="O26" s="6" t="s">
        <v>11</v>
      </c>
      <c r="P26" s="7">
        <v>2</v>
      </c>
      <c r="Q26" s="8">
        <v>0.0666666666666667</v>
      </c>
      <c r="R26" s="5"/>
    </row>
    <row r="27" ht="15.35" spans="2:24">
      <c r="B27" s="1"/>
      <c r="H27" s="1"/>
      <c r="N27" s="5" t="s">
        <v>57</v>
      </c>
      <c r="O27" s="6" t="s">
        <v>9</v>
      </c>
      <c r="P27" s="7">
        <v>2</v>
      </c>
      <c r="Q27" s="8">
        <v>0.0454545454545455</v>
      </c>
      <c r="R27" s="5">
        <v>17</v>
      </c>
    </row>
    <row r="28" ht="15.35" spans="2:24">
      <c r="B28" s="1"/>
      <c r="H28" s="1"/>
      <c r="N28" s="5"/>
      <c r="O28" s="6" t="s">
        <v>25</v>
      </c>
      <c r="P28" s="7">
        <v>9</v>
      </c>
      <c r="Q28" s="8">
        <v>0.3</v>
      </c>
      <c r="R28" s="5"/>
    </row>
    <row r="29" ht="15.35" spans="2:24">
      <c r="B29" s="1"/>
      <c r="H29" s="1"/>
      <c r="N29" s="5"/>
      <c r="O29" s="6" t="s">
        <v>11</v>
      </c>
      <c r="P29" s="7">
        <v>6</v>
      </c>
      <c r="Q29" s="8">
        <v>0.2</v>
      </c>
      <c r="R29" s="5"/>
    </row>
    <row r="31" spans="2:24">
      <c r="B31" s="1" t="s">
        <v>58</v>
      </c>
      <c r="H31" s="1" t="s">
        <v>58</v>
      </c>
    </row>
    <row r="32" ht="13.85" spans="2:24">
      <c r="B32" s="1" t="s">
        <v>34</v>
      </c>
      <c r="H32" s="1" t="s">
        <v>34</v>
      </c>
      <c r="N32" s="2" t="s">
        <v>59</v>
      </c>
    </row>
    <row r="33" ht="15.35" spans="2:24">
      <c r="B33" s="1" t="s">
        <v>60</v>
      </c>
      <c r="H33" s="1" t="s">
        <v>60</v>
      </c>
      <c r="N33" s="5" t="s">
        <v>22</v>
      </c>
      <c r="O33" s="6" t="s">
        <v>9</v>
      </c>
      <c r="P33" s="7">
        <v>16</v>
      </c>
      <c r="Q33" s="8">
        <v>0.363636363636364</v>
      </c>
      <c r="R33" s="5">
        <v>46</v>
      </c>
      <c r="T33" s="3"/>
      <c r="U33" s="4" t="s">
        <v>16</v>
      </c>
      <c r="V33" s="4" t="s">
        <v>17</v>
      </c>
      <c r="W33" s="4" t="s">
        <v>18</v>
      </c>
      <c r="X33" s="4" t="s">
        <v>19</v>
      </c>
    </row>
    <row r="34" ht="15.35" spans="2:24">
      <c r="B34" s="1" t="s">
        <v>61</v>
      </c>
      <c r="H34" s="1" t="s">
        <v>62</v>
      </c>
      <c r="N34" s="5"/>
      <c r="O34" s="6" t="s">
        <v>25</v>
      </c>
      <c r="P34" s="7">
        <v>14</v>
      </c>
      <c r="Q34" s="8">
        <v>0.466666666666667</v>
      </c>
      <c r="R34" s="5"/>
      <c r="T34" s="4" t="s">
        <v>9</v>
      </c>
      <c r="U34" s="8">
        <v>0.363636363636364</v>
      </c>
      <c r="V34" s="8">
        <v>0.227272727272727</v>
      </c>
      <c r="W34" s="8">
        <v>0</v>
      </c>
      <c r="X34" s="8">
        <v>0.409090909090909</v>
      </c>
    </row>
    <row r="35" ht="15.35" spans="2:24">
      <c r="B35" s="1" t="s">
        <v>63</v>
      </c>
      <c r="H35" s="1" t="s">
        <v>63</v>
      </c>
      <c r="N35" s="5"/>
      <c r="O35" s="6" t="s">
        <v>11</v>
      </c>
      <c r="P35" s="7">
        <v>16</v>
      </c>
      <c r="Q35" s="8">
        <v>0.533333333333333</v>
      </c>
      <c r="R35" s="5"/>
      <c r="T35" s="4" t="s">
        <v>25</v>
      </c>
      <c r="U35" s="8">
        <v>0.466666666666667</v>
      </c>
      <c r="V35" s="8">
        <v>0.366666666666667</v>
      </c>
      <c r="W35" s="8">
        <v>0.0333333333333333</v>
      </c>
      <c r="X35" s="8">
        <v>0.133333333333333</v>
      </c>
    </row>
    <row r="36" ht="15.35" spans="2:24">
      <c r="N36" s="5" t="s">
        <v>29</v>
      </c>
      <c r="O36" s="6" t="s">
        <v>9</v>
      </c>
      <c r="P36" s="7">
        <v>10</v>
      </c>
      <c r="Q36" s="8">
        <v>0.227272727272727</v>
      </c>
      <c r="R36" s="5">
        <v>31</v>
      </c>
      <c r="T36" s="4" t="s">
        <v>11</v>
      </c>
      <c r="U36" s="8">
        <v>0.533333333333333</v>
      </c>
      <c r="V36" s="8">
        <v>0.333333333333333</v>
      </c>
      <c r="W36" s="8">
        <v>0</v>
      </c>
      <c r="X36" s="8">
        <v>0.133333333333333</v>
      </c>
    </row>
    <row r="37" ht="15.35" spans="2:24">
      <c r="B37" s="1" t="s">
        <v>64</v>
      </c>
      <c r="H37" s="1" t="s">
        <v>65</v>
      </c>
      <c r="N37" s="5"/>
      <c r="O37" s="6" t="s">
        <v>25</v>
      </c>
      <c r="P37" s="7">
        <v>11</v>
      </c>
      <c r="Q37" s="8">
        <v>0.366666666666667</v>
      </c>
      <c r="R37" s="5"/>
    </row>
    <row r="38" ht="15.35" spans="2:24">
      <c r="B38" s="1" t="s">
        <v>66</v>
      </c>
      <c r="H38" s="1" t="s">
        <v>67</v>
      </c>
      <c r="N38" s="5"/>
      <c r="O38" s="6" t="s">
        <v>11</v>
      </c>
      <c r="P38" s="7">
        <v>10</v>
      </c>
      <c r="Q38" s="8">
        <v>0.333333333333333</v>
      </c>
      <c r="R38" s="5"/>
    </row>
    <row r="39" ht="15.35" spans="2:24">
      <c r="B39" s="1" t="s">
        <v>68</v>
      </c>
      <c r="H39" s="1" t="s">
        <v>69</v>
      </c>
      <c r="N39" s="5" t="s">
        <v>32</v>
      </c>
      <c r="O39" s="6" t="s">
        <v>9</v>
      </c>
      <c r="P39" s="7">
        <v>0</v>
      </c>
      <c r="Q39" s="8">
        <v>0</v>
      </c>
      <c r="R39" s="5">
        <v>1</v>
      </c>
    </row>
    <row r="40" ht="15.35" spans="2:24">
      <c r="B40" s="1" t="s">
        <v>70</v>
      </c>
      <c r="H40" s="1" t="s">
        <v>71</v>
      </c>
      <c r="N40" s="5"/>
      <c r="O40" s="6" t="s">
        <v>25</v>
      </c>
      <c r="P40" s="7">
        <v>1</v>
      </c>
      <c r="Q40" s="8">
        <v>0.0333333333333333</v>
      </c>
      <c r="R40" s="5"/>
    </row>
    <row r="41" ht="15.35" spans="2:24">
      <c r="B41" s="1" t="s">
        <v>72</v>
      </c>
      <c r="H41" s="1" t="s">
        <v>73</v>
      </c>
      <c r="N41" s="5"/>
      <c r="O41" s="6" t="s">
        <v>11</v>
      </c>
      <c r="P41" s="7">
        <v>0</v>
      </c>
      <c r="Q41" s="8">
        <v>0</v>
      </c>
      <c r="R41" s="5"/>
    </row>
    <row r="42" ht="15.35" spans="2:24">
      <c r="N42" s="5" t="s">
        <v>36</v>
      </c>
      <c r="O42" s="6" t="s">
        <v>9</v>
      </c>
      <c r="P42" s="7">
        <v>18</v>
      </c>
      <c r="Q42" s="8">
        <v>0.409090909090909</v>
      </c>
      <c r="R42" s="5">
        <v>26</v>
      </c>
    </row>
    <row r="43" ht="15.35" spans="2:24">
      <c r="B43" s="1" t="s">
        <v>74</v>
      </c>
      <c r="H43" s="1" t="s">
        <v>75</v>
      </c>
      <c r="N43" s="5"/>
      <c r="O43" s="6" t="s">
        <v>25</v>
      </c>
      <c r="P43" s="7">
        <v>4</v>
      </c>
      <c r="Q43" s="8">
        <v>0.133333333333333</v>
      </c>
      <c r="R43" s="5"/>
    </row>
    <row r="44" ht="15.35" spans="2:24">
      <c r="B44" s="1" t="s">
        <v>76</v>
      </c>
      <c r="H44" s="1" t="s">
        <v>76</v>
      </c>
      <c r="N44" s="5"/>
      <c r="O44" s="6" t="s">
        <v>11</v>
      </c>
      <c r="P44" s="7">
        <v>4</v>
      </c>
      <c r="Q44" s="8">
        <v>0.133333333333333</v>
      </c>
      <c r="R44" s="5"/>
    </row>
    <row r="45" spans="2:24">
      <c r="B45" s="1" t="s">
        <v>77</v>
      </c>
      <c r="H45" s="1" t="s">
        <v>78</v>
      </c>
      <c r="L45">
        <f>(45+43)/208</f>
        <v>0.423076923076923</v>
      </c>
    </row>
    <row r="46" spans="2:24">
      <c r="B46" s="1" t="s">
        <v>79</v>
      </c>
      <c r="H46" s="1" t="s">
        <v>80</v>
      </c>
      <c r="L46">
        <f>(33+28)/208</f>
        <v>0.293269230769231</v>
      </c>
    </row>
    <row r="47" ht="13.85" spans="2:24">
      <c r="B47" s="1" t="s">
        <v>81</v>
      </c>
      <c r="H47" s="1" t="s">
        <v>82</v>
      </c>
      <c r="L47">
        <f>(17+21)/208</f>
        <v>0.182692307692308</v>
      </c>
      <c r="N47" s="2" t="s">
        <v>41</v>
      </c>
      <c r="Q47" s="9"/>
    </row>
    <row r="48" ht="15.35" spans="2:24">
      <c r="B48" s="1" t="s">
        <v>83</v>
      </c>
      <c r="H48" s="1" t="s">
        <v>84</v>
      </c>
      <c r="L48">
        <f>(9+12)/208</f>
        <v>0.100961538461538</v>
      </c>
      <c r="N48" s="5" t="s">
        <v>43</v>
      </c>
      <c r="O48" s="6" t="s">
        <v>9</v>
      </c>
      <c r="P48" s="7">
        <v>19</v>
      </c>
      <c r="Q48" s="8">
        <v>0.431818181818182</v>
      </c>
      <c r="R48" s="5">
        <v>43</v>
      </c>
      <c r="T48" s="3"/>
      <c r="U48" s="4" t="s">
        <v>44</v>
      </c>
      <c r="V48" s="4" t="s">
        <v>45</v>
      </c>
      <c r="W48" s="4" t="s">
        <v>46</v>
      </c>
      <c r="X48" s="4" t="s">
        <v>47</v>
      </c>
    </row>
    <row r="49" ht="15.35" spans="2:24">
      <c r="B49" s="1" t="s">
        <v>30</v>
      </c>
      <c r="H49" s="1" t="s">
        <v>30</v>
      </c>
      <c r="N49" s="5"/>
      <c r="O49" s="6" t="s">
        <v>25</v>
      </c>
      <c r="P49" s="7">
        <v>8</v>
      </c>
      <c r="Q49" s="8">
        <v>0.266666666666667</v>
      </c>
      <c r="R49" s="5"/>
      <c r="T49" s="4" t="s">
        <v>9</v>
      </c>
      <c r="U49" s="8">
        <v>0.431818181818182</v>
      </c>
      <c r="V49" s="8">
        <v>0.409090909090909</v>
      </c>
      <c r="W49" s="8">
        <v>0.0454545454545455</v>
      </c>
      <c r="X49" s="8">
        <v>0.113636363636364</v>
      </c>
    </row>
    <row r="50" ht="15.35" spans="2:24">
      <c r="N50" s="5"/>
      <c r="O50" s="6" t="s">
        <v>11</v>
      </c>
      <c r="P50" s="7">
        <v>16</v>
      </c>
      <c r="Q50" s="8">
        <v>0.533333333333333</v>
      </c>
      <c r="R50" s="5"/>
      <c r="T50" s="4" t="s">
        <v>25</v>
      </c>
      <c r="U50" s="8">
        <v>0.266666666666667</v>
      </c>
      <c r="V50" s="8">
        <v>0.166666666666667</v>
      </c>
      <c r="W50" s="8">
        <v>0.3</v>
      </c>
      <c r="X50" s="8">
        <v>0.266666666666667</v>
      </c>
    </row>
    <row r="51" ht="15.35" spans="2:24">
      <c r="B51" s="1" t="s">
        <v>31</v>
      </c>
      <c r="H51" s="1" t="s">
        <v>31</v>
      </c>
      <c r="N51" s="5" t="s">
        <v>50</v>
      </c>
      <c r="O51" s="6" t="s">
        <v>9</v>
      </c>
      <c r="P51" s="7">
        <v>18</v>
      </c>
      <c r="Q51" s="8">
        <v>0.409090909090909</v>
      </c>
      <c r="R51" s="5">
        <v>28</v>
      </c>
      <c r="T51" s="4" t="s">
        <v>11</v>
      </c>
      <c r="U51" s="8">
        <v>0.533333333333333</v>
      </c>
      <c r="V51" s="8">
        <v>0.166666666666667</v>
      </c>
      <c r="W51" s="8">
        <v>0.0333333333333333</v>
      </c>
      <c r="X51" s="8">
        <v>0.266666666666667</v>
      </c>
    </row>
    <row r="52" ht="15.35" spans="2:24">
      <c r="B52" s="1" t="s">
        <v>85</v>
      </c>
      <c r="H52" s="1" t="s">
        <v>85</v>
      </c>
      <c r="N52" s="5"/>
      <c r="O52" s="6" t="s">
        <v>25</v>
      </c>
      <c r="P52" s="7">
        <v>5</v>
      </c>
      <c r="Q52" s="8">
        <v>0.166666666666667</v>
      </c>
      <c r="R52" s="5"/>
    </row>
    <row r="53" ht="15.35" spans="2:24">
      <c r="B53" s="1" t="s">
        <v>34</v>
      </c>
      <c r="H53" s="1" t="s">
        <v>34</v>
      </c>
      <c r="N53" s="5"/>
      <c r="O53" s="6" t="s">
        <v>11</v>
      </c>
      <c r="P53" s="7">
        <v>5</v>
      </c>
      <c r="Q53" s="8">
        <v>0.166666666666667</v>
      </c>
      <c r="R53" s="5"/>
    </row>
    <row r="54" ht="15.35" spans="2:24">
      <c r="B54" s="1" t="s">
        <v>86</v>
      </c>
      <c r="H54" s="1" t="s">
        <v>87</v>
      </c>
      <c r="N54" s="5" t="s">
        <v>53</v>
      </c>
      <c r="O54" s="6" t="s">
        <v>9</v>
      </c>
      <c r="P54" s="7">
        <v>2</v>
      </c>
      <c r="Q54" s="8">
        <v>0.0454545454545455</v>
      </c>
      <c r="R54" s="5">
        <v>12</v>
      </c>
    </row>
    <row r="55" ht="15.35" spans="2:24">
      <c r="B55" s="1" t="s">
        <v>88</v>
      </c>
      <c r="H55" s="1" t="s">
        <v>89</v>
      </c>
      <c r="N55" s="5"/>
      <c r="O55" s="6" t="s">
        <v>25</v>
      </c>
      <c r="P55" s="7">
        <v>9</v>
      </c>
      <c r="Q55" s="8">
        <v>0.3</v>
      </c>
      <c r="R55" s="5"/>
    </row>
    <row r="56" ht="15.35" spans="2:24">
      <c r="B56" s="1" t="s">
        <v>90</v>
      </c>
      <c r="H56" s="1" t="s">
        <v>91</v>
      </c>
      <c r="N56" s="5"/>
      <c r="O56" s="6" t="s">
        <v>11</v>
      </c>
      <c r="P56" s="7">
        <v>1</v>
      </c>
      <c r="Q56" s="8">
        <v>0.0333333333333333</v>
      </c>
      <c r="R56" s="5"/>
    </row>
    <row r="57" ht="15.35" spans="2:24">
      <c r="N57" s="5" t="s">
        <v>57</v>
      </c>
      <c r="O57" s="6" t="s">
        <v>9</v>
      </c>
      <c r="P57" s="7">
        <v>5</v>
      </c>
      <c r="Q57" s="8">
        <v>0.113636363636364</v>
      </c>
      <c r="R57" s="5">
        <v>21</v>
      </c>
    </row>
    <row r="58" ht="15.35" spans="2:24">
      <c r="B58" s="1" t="s">
        <v>92</v>
      </c>
      <c r="H58" s="1" t="s">
        <v>92</v>
      </c>
      <c r="N58" s="5"/>
      <c r="O58" s="6" t="s">
        <v>25</v>
      </c>
      <c r="P58" s="7">
        <v>8</v>
      </c>
      <c r="Q58" s="8">
        <v>0.266666666666667</v>
      </c>
      <c r="R58" s="5"/>
    </row>
    <row r="59" ht="15.35" spans="2:24">
      <c r="B59" s="1" t="s">
        <v>34</v>
      </c>
      <c r="H59" s="1" t="s">
        <v>34</v>
      </c>
      <c r="N59" s="5"/>
      <c r="O59" s="6" t="s">
        <v>11</v>
      </c>
      <c r="P59" s="7">
        <v>8</v>
      </c>
      <c r="Q59" s="8">
        <v>0.266666666666667</v>
      </c>
      <c r="R59" s="5"/>
    </row>
    <row r="60" spans="2:24">
      <c r="B60" s="1" t="s">
        <v>93</v>
      </c>
      <c r="H60" s="1" t="s">
        <v>93</v>
      </c>
    </row>
    <row r="61" spans="2:24">
      <c r="B61" s="1" t="s">
        <v>94</v>
      </c>
      <c r="H61" s="1" t="s">
        <v>95</v>
      </c>
    </row>
    <row r="62" spans="2:24">
      <c r="B62" s="1" t="s">
        <v>96</v>
      </c>
      <c r="H62" s="1" t="s">
        <v>97</v>
      </c>
    </row>
    <row r="64" spans="2:24">
      <c r="B64" s="1" t="s">
        <v>98</v>
      </c>
      <c r="H64" s="1" t="s">
        <v>98</v>
      </c>
    </row>
    <row r="65" spans="2:8">
      <c r="B65" s="1" t="s">
        <v>34</v>
      </c>
      <c r="H65" s="1" t="s">
        <v>34</v>
      </c>
    </row>
    <row r="66" spans="2:8">
      <c r="B66" s="1" t="s">
        <v>99</v>
      </c>
      <c r="H66" s="1" t="s">
        <v>100</v>
      </c>
    </row>
    <row r="67" spans="2:8">
      <c r="B67" s="1" t="s">
        <v>101</v>
      </c>
      <c r="H67" s="1" t="s">
        <v>102</v>
      </c>
    </row>
    <row r="68" spans="2:8">
      <c r="B68" s="1" t="s">
        <v>103</v>
      </c>
      <c r="H68" s="1" t="s">
        <v>104</v>
      </c>
    </row>
    <row r="70" spans="2:8">
      <c r="B70" s="1" t="s">
        <v>105</v>
      </c>
      <c r="H70" s="1" t="s">
        <v>105</v>
      </c>
    </row>
    <row r="71" spans="2:8">
      <c r="B71" s="1" t="s">
        <v>34</v>
      </c>
      <c r="H71" s="1" t="s">
        <v>34</v>
      </c>
    </row>
    <row r="72" spans="2:8">
      <c r="B72" s="1" t="s">
        <v>106</v>
      </c>
      <c r="H72" s="1" t="s">
        <v>107</v>
      </c>
    </row>
    <row r="73" spans="2:8">
      <c r="B73" s="1" t="s">
        <v>108</v>
      </c>
      <c r="H73" s="1" t="s">
        <v>89</v>
      </c>
    </row>
    <row r="74" spans="2:8">
      <c r="B74" s="1" t="s">
        <v>109</v>
      </c>
      <c r="H74" s="1" t="s">
        <v>63</v>
      </c>
    </row>
    <row r="76" spans="2:8">
      <c r="B76" s="1" t="s">
        <v>110</v>
      </c>
      <c r="H76" s="1" t="s">
        <v>111</v>
      </c>
    </row>
    <row r="77" spans="2:8">
      <c r="B77" s="1" t="s">
        <v>112</v>
      </c>
      <c r="H77" s="1" t="s">
        <v>113</v>
      </c>
    </row>
    <row r="78" spans="2:8">
      <c r="B78" s="1" t="s">
        <v>114</v>
      </c>
      <c r="H78" s="1" t="s">
        <v>115</v>
      </c>
    </row>
    <row r="79" spans="2:8">
      <c r="B79" s="1" t="s">
        <v>116</v>
      </c>
      <c r="H79" s="1" t="s">
        <v>117</v>
      </c>
    </row>
    <row r="80" spans="2:8">
      <c r="B80" s="1" t="s">
        <v>118</v>
      </c>
      <c r="H80" s="1" t="s">
        <v>119</v>
      </c>
    </row>
  </sheetData>
  <mergeCells count="32">
    <mergeCell ref="N3:N5"/>
    <mergeCell ref="N6:N8"/>
    <mergeCell ref="N9:N11"/>
    <mergeCell ref="N12:N14"/>
    <mergeCell ref="N18:N20"/>
    <mergeCell ref="N21:N23"/>
    <mergeCell ref="N24:N26"/>
    <mergeCell ref="N27:N29"/>
    <mergeCell ref="N33:N35"/>
    <mergeCell ref="N36:N38"/>
    <mergeCell ref="N39:N41"/>
    <mergeCell ref="N42:N44"/>
    <mergeCell ref="N48:N50"/>
    <mergeCell ref="N51:N53"/>
    <mergeCell ref="N54:N56"/>
    <mergeCell ref="N57:N59"/>
    <mergeCell ref="R3:R5"/>
    <mergeCell ref="R6:R8"/>
    <mergeCell ref="R9:R11"/>
    <mergeCell ref="R12:R14"/>
    <mergeCell ref="R18:R20"/>
    <mergeCell ref="R21:R23"/>
    <mergeCell ref="R24:R26"/>
    <mergeCell ref="R27:R29"/>
    <mergeCell ref="R33:R35"/>
    <mergeCell ref="R36:R38"/>
    <mergeCell ref="R39:R41"/>
    <mergeCell ref="R42:R44"/>
    <mergeCell ref="R48:R50"/>
    <mergeCell ref="R51:R53"/>
    <mergeCell ref="R54:R56"/>
    <mergeCell ref="R57:R59"/>
  </mergeCell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dc:creator>
  <cp:lastModifiedBy>April Liang</cp:lastModifiedBy>
  <dcterms:created xsi:type="dcterms:W3CDTF">2026-03-03T23:42:00Z</dcterms:created>
  <dcterms:modified xsi:type="dcterms:W3CDTF">2026-03-14T22:43:34Z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399FFB63CF0CD4935E0FA76964E9B3F0_41</vt:lpwstr>
  </property>
  <property fmtid="{D5CDD505-2E9C-101B-9397-08002B2CF9AE}" pid="3" name="KSOProductBuildVer">
    <vt:lpwstr>2052-12.1.2.24722</vt:lpwstr>
  </property>
  <property fmtid="{D5CDD505-2E9C-101B-9397-08002B2CF9AE}" pid="4" name="CalculationRule">
    <vt:i4>1</vt:i4>
  </property>
</Properties>
</file>