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6655" windowHeight="12495" activeTab="1"/>
  </bookViews>
  <sheets>
    <sheet name="Sheet1" sheetId="1" r:id="rId1"/>
    <sheet name="Sheet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<sst xmlns="http://schemas.openxmlformats.org/spreadsheetml/2006/main" count="197" uniqueCount="117">
  <si>
    <t>Horizontal Parameters</t>
  </si>
  <si>
    <t>Vertical Parameters</t>
  </si>
  <si>
    <t>p_alpha</t>
  </si>
  <si>
    <t>beta</t>
  </si>
  <si>
    <t>p_kappa</t>
  </si>
  <si>
    <t>delta</t>
  </si>
  <si>
    <t>A</t>
  </si>
  <si>
    <t>B</t>
  </si>
  <si>
    <t>C</t>
  </si>
  <si>
    <t>Africa</t>
  </si>
  <si>
    <t>South and Southeast Asia</t>
  </si>
  <si>
    <t>Latin America</t>
  </si>
  <si>
    <t>===== 2016 Alpha-Beta Counts (Total &amp; by Continent) =====</t>
  </si>
  <si>
    <t>category_alpha_beta</t>
  </si>
  <si>
    <t>Continent</t>
  </si>
  <si>
    <t>Type</t>
  </si>
  <si>
    <t>Percentage</t>
  </si>
  <si>
    <t>Low-Constraint, Steep-Gradient     47</t>
  </si>
  <si>
    <t>Low-Constraint, Steep-Gradient</t>
  </si>
  <si>
    <t>LC-SG</t>
  </si>
  <si>
    <t>Low-Constraint, Flat-Gradient      29</t>
  </si>
  <si>
    <t>Asia</t>
  </si>
  <si>
    <t>LC-FG</t>
  </si>
  <si>
    <t>High-Constraint, Flat-Gradient     27</t>
  </si>
  <si>
    <t>HC-SG</t>
  </si>
  <si>
    <t>High-Constraint, Steep-Gradient     1</t>
  </si>
  <si>
    <t>Low-Constraint, Flat-Gradient</t>
  </si>
  <si>
    <t>HC-FG</t>
  </si>
  <si>
    <t>Name: count, dtype: int64</t>
  </si>
  <si>
    <t>By continent:</t>
  </si>
  <si>
    <t>High-Constraint, Flat-Gradient</t>
  </si>
  <si>
    <t>category_alpha_beta  High-Constraint, Flat-Gradient  \</t>
  </si>
  <si>
    <t>continent</t>
  </si>
  <si>
    <t>LatinAmerica</t>
  </si>
  <si>
    <t>Africa                                           18</t>
  </si>
  <si>
    <t>High-Constraint, Steep-Gradient</t>
  </si>
  <si>
    <t>Asia                                              5</t>
  </si>
  <si>
    <t>Latin America                                     4</t>
  </si>
  <si>
    <t>category_alpha_beta  High-Constraint, Steep-Gradient  \</t>
  </si>
  <si>
    <t>Africa                                             0</t>
  </si>
  <si>
    <t>Low-Intensity, Steep-Gradient</t>
  </si>
  <si>
    <t>Asia                                               1</t>
  </si>
  <si>
    <t>Latin America                                      0</t>
  </si>
  <si>
    <t>Low-Intensity, Flat-Gradient</t>
  </si>
  <si>
    <t>category_alpha_beta  Low-Constraint, Flat-Gradient  \</t>
  </si>
  <si>
    <t>Africa                                          10</t>
  </si>
  <si>
    <t>High-Intensity, Flat-Gradient</t>
  </si>
  <si>
    <t>Asia                                             9</t>
  </si>
  <si>
    <t>Latin America                                   10</t>
  </si>
  <si>
    <t>High-Intensity, Steep-Gradient</t>
  </si>
  <si>
    <t>category_alpha_beta  Low-Constraint, Steep-Gradient</t>
  </si>
  <si>
    <t>Africa                                           16</t>
  </si>
  <si>
    <t>Asia                                             15</t>
  </si>
  <si>
    <t>Latin America                                    16</t>
  </si>
  <si>
    <t>===== 2016 Alpha-Beta Lists =====</t>
  </si>
  <si>
    <t>High-Constraint, Flat-Gradient: [('Kigali', 2016), ('Conakry', 2016), ('Abuja', 2016), ('Freetown', 2016), ('Mombasa', 2016), ('Monrovia', 2016), ('Bujumbura', 2016), ('Constantine', 2016), ('Hanoi', 2016), ('Lagos', 2016), ('Onitsha', 2016), ('Alexandria', 2016), ('Dar es Salaam', 2016), ('Kisumu', 2016), ('Accra', 2016), ('Algiers', 2016), ('Cape Town', 2016), ('Dakar', 2016), ('Maputo', 2016), ('Davao', 2016), ('Makassar', 2016), ('Batam', 2016), ('Bandar Lampung', 2016), ('Rio de Janeiro', 2016), ('Brasilia', 2016), ('Salvador', 2016), ('Asuncion', 2016)]</t>
  </si>
  <si>
    <t>High-Constraint, Steep-Gradient: [('Mumbai', 2016)]</t>
  </si>
  <si>
    <t>Low-Constraint, Flat-Gradient: [('Aba', 2016), ('Brazzaville', 2016), ('Lilongwe', 2016), ('Oran', 2016), ('Libreville', 2016), ('Windhoek', 2016), ('Jakarta', 2016), ('Buenos Aires', 2016), ('Johannesburg', 2016), ('Luanda', 2016), ('Nairobi', 2016), ('Harare', 2016), ('Bangkok', 2016), ('Ho Chi Minh City', 2016), ('Kuala Lumpur', 2016), ('Bandung', 2016), ('Surabaya', 2016), ('Phnom Penh', 2016), ('Denpasar', 2016), ('Semarang', 2016), ('Guatemala City', 2016), ('Quito', 2016), ('Tegucigalpa', 2016), ('San Jose', 2016), ('Managua', 2016), ('Merida', 2016), ('Queretaro', 2016), ('Acapulco', 2016), ('San Salvador', 2016)]</t>
  </si>
  <si>
    <t>Low-Constraint, Steep-Gradient: [('Niamey', 2016), ('Nouakchott', 2016), ('Bangui', 2016), ('Bobo-Dioulasso', 2016), ('Delhi', 2016), ('Antananarivo', 2016), ('Abidjan', 2016), ('Yaounde', 2016), ('Lusaka', 2016), ('Monterrey', 2016), ('Medan', 2016), ('Cairo', 2016), ('Kinshasa', 2016), ('Kano', 2016), ('Kampala', 2016), ('Addis Ababa', 2016), ('Ibadan', 2016), ('Kumasi', 2016), ('Ouagadougou', 2016), ('Manila', 2016), ('Dhaka', 2016), ('Kolkata', 2016), ('Karachi', 2016), ('Bangalore', 2016), ('Chennai', 2016), ('Hyderabad', 2016), ('Pune', 2016), ('Ahmedabad', 2016), ('Surat', 2016), ('Jaipur', 2016), ('Palembang', 2016), ('Kathmandu', 2016), ('Sao Paulo', 2016), ('Mexico City', 2016), ('Lima', 2016), ('Bogota', 2016), ('Guadalajara', 2016), ('Belo Horizonte', 2016), ('La Paz', 2016), ('Guayaquil', 2016), ('Santo Domingo', 2016), ('Medellin', 2016), ('Cali', 2016), ('Leon', 2016), ('Puebla', 2016), ('Port-au-Prince', 2016), ('Cancun', 2016)]</t>
  </si>
  <si>
    <t>===== 2016 Kappa-Delta Counts (Total &amp; by Continent) =====</t>
  </si>
  <si>
    <t>category_kappa_delta</t>
  </si>
  <si>
    <t>Low-Intensity, Steep-Gradient     45</t>
  </si>
  <si>
    <t>Low-Intensity, Flat-Gradient      33</t>
  </si>
  <si>
    <t>High-Intensity, Flat-Gradient     17</t>
  </si>
  <si>
    <t>High-Intensity, Steep-Gradient     9</t>
  </si>
  <si>
    <t>category_kappa_delta  High-Intensity, Flat-Gradient  \</t>
  </si>
  <si>
    <t>Africa                                            2</t>
  </si>
  <si>
    <t>Asia                                              9</t>
  </si>
  <si>
    <t>Latin America                                     6</t>
  </si>
  <si>
    <t>category_kappa_delta  High-Intensity, Steep-Gradient  \</t>
  </si>
  <si>
    <t>Africa                                             2</t>
  </si>
  <si>
    <t>Asia                                               5</t>
  </si>
  <si>
    <t>Latin America                                      2</t>
  </si>
  <si>
    <t>category_kappa_delta  Low-Intensity, Flat-Gradient  \</t>
  </si>
  <si>
    <t>Africa                                          20</t>
  </si>
  <si>
    <t>Asia                                             6</t>
  </si>
  <si>
    <t>Latin America                                    7</t>
  </si>
  <si>
    <t>category_kappa_delta  Low-Intensity, Steep-Gradient</t>
  </si>
  <si>
    <t>Africa                                           20</t>
  </si>
  <si>
    <t>Asia                                             10</t>
  </si>
  <si>
    <t>Latin America                                    15</t>
  </si>
  <si>
    <t>===== 2016 Kappa-Delta Lists =====</t>
  </si>
  <si>
    <t>High-Intensity, Flat-Gradient: [('Jakarta', 2016), ('Buenos Aires', 2016), ('Medan', 2016), ('Cairo', 2016), ('Kinshasa', 2016), ('Manila', 2016), ('Kolkata', 2016), ('Ho Chi Minh City', 2016), ('Surat', 2016), ('Jaipur', 2016), ('Phnom Penh', 2016), ('Makassar', 2016), ('Mexico City', 2016), ('Lima', 2016), ('Guadalajara', 2016), ('Guayaquil', 2016), ('Cali', 2016)]</t>
  </si>
  <si>
    <t>High-Intensity, Steep-Gradient: [('Alexandria', 2016), ('Dakar', 2016), ('Bandung', 2016), ('Surabaya', 2016), ('Denpasar', 2016), ('Semarang', 2016), ('Bandar Lampung', 2016), ('Sao Paulo', 2016), ('Salvador', 2016)]</t>
  </si>
  <si>
    <t>Low-Intensity, Flat-Gradient: [('Brazzaville', 2016), ('Mombasa', 2016), ('Monrovia', 2016), ('Niamey', 2016), ('Nouakchott', 2016), ('Bujumbura', 2016), ('Bangui', 2016), ('Bobo-Dioulasso', 2016), ('Antananarivo', 2016), ('Abidjan', 2016), ('Yaounde', 2016), ('Lagos', 2016), ('Luanda', 2016), ('Nairobi', 2016), ('Dar es Salaam', 2016), ('Kano', 2016), ('Kampala', 2016), ('Addis Ababa', 2016), ('Ibadan', 2016), ('Ouagadougou', 2016), ('Dhaka', 2016), ('Bangalore', 2016), ('Chennai', 2016), ('Hyderabad', 2016), ('Ahmedabad', 2016), ('Kathmandu', 2016), ('Belo Horizonte', 2016), ('La Paz', 2016), ('Santo Domingo', 2016), ('Medellin', 2016), ('Puebla', 2016), ('Port-au-Prince', 2016), ('Asuncion', 2016)]</t>
  </si>
  <si>
    <t>Low-Intensity, Steep-Gradient: [('Kigali', 2016), ('Conakry', 2016), ('Abuja', 2016), ('Aba', 2016), ('Freetown', 2016), ('Lilongwe', 2016), ('Oran', 2016), ('Libreville', 2016), ('Constantine', 2016), ('Windhoek', 2016), ('Delhi', 2016), ('Lusaka', 2016), ('Hanoi', 2016), ('Monterrey', 2016), ('Onitsha', 2016), ('Johannesburg', 2016), ('Kisumu', 2016), ('Accra', 2016), ('Algiers', 2016), ('Cape Town', 2016), ('Kumasi', 2016), ('Maputo', 2016), ('Harare', 2016), ('Mumbai', 2016), ('Bangkok', 2016), ('Karachi', 2016), ('Kuala Lumpur', 2016), ('Pune', 2016), ('Davao', 2016), ('Palembang', 2016), ('Batam', 2016), ('Rio de Janeiro', 2016), ('Bogota', 2016), ('Brasilia', 2016), ('Guatemala City', 2016), ('Quito', 2016), ('Tegucigalpa', 2016), ('Leon', 2016), ('San Jose', 2016), ('Managua', 2016), ('Merida', 2016), ('Cancun', 2016), ('Queretaro', 2016), ('Acapulco', 2016), ('San Salvador', 2016)]</t>
  </si>
  <si>
    <t>===== 2023 Alpha-Beta Counts (Total &amp; by Continent) =====</t>
  </si>
  <si>
    <t>Low-Constraint, Steep-Gradient     46</t>
  </si>
  <si>
    <t>Low-Constraint, Flat-Gradient      31</t>
  </si>
  <si>
    <t>High-Constraint, Flat-Gradient     26</t>
  </si>
  <si>
    <t>Asia                                              4</t>
  </si>
  <si>
    <t>Asia                                            11</t>
  </si>
  <si>
    <t>Asia                                             14</t>
  </si>
  <si>
    <t>===== 2023 Alpha-Beta Lists =====</t>
  </si>
  <si>
    <t>High-Constraint, Flat-Gradient: [('Kigali', 2023), ('Conakry', 2023), ('Abuja', 2023), ('Freetown', 2023), ('Mombasa', 2023), ('Monrovia', 2023), ('Constantine', 2023), ('Lagos', 2023), ('Onitsha', 2023), ('Luanda', 2023), ('Alexandria', 2023), ('Dar es Salaam', 2023), ('Kisumu', 2023), ('Accra', 2023), ('Algiers', 2023), ('Cape Town', 2023), ('Dakar', 2023), ('Maputo', 2023), ('Davao', 2023), ('Makassar', 2023), ('Batam', 2023), ('Bandar Lampung', 2023), ('Rio de Janeiro', 2023), ('Brasilia', 2023), ('Salvador', 2023), ('Asuncion', 2023)]</t>
  </si>
  <si>
    <t>High-Constraint, Steep-Gradient: [('Mumbai', 2023)]</t>
  </si>
  <si>
    <t>Low-Constraint, Flat-Gradient: [('Aba', 2023), ('Brazzaville', 2023), ('Lilongwe', 2023), ('Bujumbura', 2023), ('Oran', 2023), ('Libreville', 2023), ('Windhoek', 2023), ('Jakarta', 2023), ('Delhi', 2023), ('Hanoi', 2023), ('Buenos Aires', 2023), ('Johannesburg', 2023), ('Nairobi', 2023), ('Harare', 2023), ('Bangkok', 2023), ('Ho Chi Minh City', 2023), ('Kuala Lumpur', 2023), ('Bandung', 2023), ('Surabaya', 2023), ('Phnom Penh', 2023), ('Denpasar', 2023), ('Semarang', 2023), ('Guatemala City', 2023), ('Quito', 2023), ('Tegucigalpa', 2023), ('San Jose', 2023), ('Managua', 2023), ('Merida', 2023), ('Queretaro', 2023), ('Acapulco', 2023), ('San Salvador', 2023)]</t>
  </si>
  <si>
    <t>Low-Constraint, Steep-Gradient: [('Niamey', 2023), ('Nouakchott', 2023), ('Bangui', 2023), ('Bobo-Dioulasso', 2023), ('Antananarivo', 2023), ('Abidjan', 2023), ('Yaounde', 2023), ('Lusaka', 2023), ('Monterrey', 2023), ('Medan', 2023), ('Cairo', 2023), ('Kinshasa', 2023), ('Kano', 2023), ('Kampala', 2023), ('Addis Ababa', 2023), ('Ibadan', 2023), ('Kumasi', 2023), ('Ouagadougou', 2023), ('Manila', 2023), ('Dhaka', 2023), ('Kolkata', 2023), ('Karachi', 2023), ('Bangalore', 2023), ('Chennai', 2023), ('Hyderabad', 2023), ('Pune', 2023), ('Ahmedabad', 2023), ('Surat', 2023), ('Jaipur', 2023), ('Palembang', 2023), ('Kathmandu', 2023), ('Sao Paulo', 2023), ('Mexico City', 2023), ('Lima', 2023), ('Bogota', 2023), ('Guadalajara', 2023), ('Belo Horizonte', 2023), ('La Paz', 2023), ('Guayaquil', 2023), ('Santo Domingo', 2023), ('Medellin', 2023), ('Cali', 2023), ('Leon', 2023), ('Puebla', 2023), ('Port-au-Prince', 2023), ('Cancun', 2023)]</t>
  </si>
  <si>
    <t>===== 2023 Kappa-Delta Counts (Total &amp; by Continent) =====</t>
  </si>
  <si>
    <t>Low-Intensity, Steep-Gradient     43</t>
  </si>
  <si>
    <t>Low-Intensity, Flat-Gradient      28</t>
  </si>
  <si>
    <t>High-Intensity, Flat-Gradient     21</t>
  </si>
  <si>
    <t>High-Intensity, Steep-Gradient    12</t>
  </si>
  <si>
    <t>Africa                                            5</t>
  </si>
  <si>
    <t>Asia                                              8</t>
  </si>
  <si>
    <t>Latin America                                     8</t>
  </si>
  <si>
    <t>Asia                                               9</t>
  </si>
  <si>
    <t>Latin America                                      1</t>
  </si>
  <si>
    <t>Africa                                          18</t>
  </si>
  <si>
    <t>Asia                                             5</t>
  </si>
  <si>
    <t>Latin America                                    5</t>
  </si>
  <si>
    <t>Africa                                           19</t>
  </si>
  <si>
    <t>===== 2023 Kappa-Delta Lists =====</t>
  </si>
  <si>
    <t>High-Intensity, Flat-Gradient: [('Mombasa', 2023), ('Jakarta', 2023), ('Abidjan', 2023), ('Buenos Aires', 2023), ('Medan', 2023), ('Cairo', 2023), ('Lagos', 2023), ('Kinshasa', 2023), ('Manila', 2023), ('Kolkata', 2023), ('Bangalore', 2023), ('Ho Chi Minh City', 2023), ('Surat', 2023), ('Jaipur', 2023), ('Mexico City', 2023), ('Lima', 2023), ('Guadalajara', 2023), ('Belo Horizonte', 2023), ('Guayaquil', 2023), ('Medellin', 2023), ('Cali', 2023)]</t>
  </si>
  <si>
    <t>High-Intensity, Steep-Gradient: [('Alexandria', 2023), ('Dakar', 2023), ('Karachi', 2023), ('Bandung', 2023), ('Surabaya', 2023), ('Phnom Penh', 2023), ('Denpasar', 2023), ('Semarang', 2023), ('Palembang', 2023), ('Makassar', 2023), ('Bandar Lampung', 2023), ('Salvador', 2023)]</t>
  </si>
  <si>
    <t>Low-Intensity, Flat-Gradient: [('Brazzaville', 2023), ('Monrovia', 2023), ('Niamey', 2023), ('Nouakchott', 2023), ('Bujumbura', 2023), ('Bangui', 2023), ('Antananarivo', 2023), ('Yaounde', 2023), ('Lusaka', 2023), ('Luanda', 2023), ('Nairobi', 2023), ('Dar es Salaam', 2023), ('Kano', 2023), ('Kampala', 2023), ('Addis Ababa', 2023), ('Ibadan', 2023), ('Kumasi', 2023), ('Ouagadougou', 2023), ('Dhaka', 2023), ('Chennai', 2023), ('Hyderabad', 2023), ('Ahmedabad', 2023), ('Kathmandu', 2023), ('Santo Domingo', 2023), ('Tegucigalpa', 2023), ('Puebla', 2023), ('Port-au-Prince', 2023), ('Asuncion', 2023)]</t>
  </si>
  <si>
    <t>Low-Intensity, Steep-Gradient: [('Kigali', 2023), ('Conakry', 2023), ('Abuja', 2023), ('Aba', 2023), ('Freetown', 2023), ('Lilongwe', 2023), ('Oran', 2023), ('Libreville', 2023), ('Constantine', 2023), ('Bobo-Dioulasso', 2023), ('Windhoek', 2023), ('Delhi', 2023), ('Hanoi', 2023), ('Monterrey', 2023), ('Onitsha', 2023), ('Johannesburg', 2023), ('Kisumu', 2023), ('Accra', 2023), ('Algiers', 2023), ('Cape Town', 2023), ('Maputo', 2023), ('Harare', 2023), ('Mumbai', 2023), ('Bangkok', 2023), ('Kuala Lumpur', 2023), ('Pune', 2023), ('Davao', 2023), ('Batam', 2023), ('Sao Paulo', 2023), ('Rio de Janeiro', 2023), ('Bogota', 2023), ('Brasilia', 2023), ('Guatemala City', 2023), ('La Paz', 2023), ('Quito', 2023), ('Leon', 2023), ('San Jose', 2023), ('Managua', 2023), ('Merida', 2023), ('Cancun', 2023), ('Queretaro', 2023), ('Acapulco', 2023), ('San Salvador', 2023)]</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</si>
</sst>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_ "/>
    <numFmt numFmtId="179" formatCode="0.000_ "/>
    <numFmt numFmtId="180" formatCode="0.0000_ "/>
  </numFmts>
  <fonts count="24">
    <font>
      <sz val="11"/>
      <color theme="1"/>
      <name val="宋体"/>
      <charset val="134"/>
      <scheme val="minor"/>
    </font>
    <font>
      <sz val="9.75"/>
      <color theme="1"/>
      <name val="Consolas"/>
      <charset val="134"/>
    </font>
    <font>
      <sz val="11"/>
      <color theme="1"/>
      <name val="Arial"/>
      <charset val="134"/>
    </font>
    <font>
      <sz val="12"/>
      <color theme="1"/>
      <name val="Arial"/>
      <charset val="134"/>
    </font>
    <font>
      <sz val="9.75"/>
      <color theme="1"/>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5"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6" applyNumberFormat="0" applyFill="0" applyAlignment="0" applyProtection="0">
      <alignment vertical="center"/>
    </xf>
    <xf numFmtId="0" fontId="11" fillId="0" borderId="6" applyNumberFormat="0" applyFill="0" applyAlignment="0" applyProtection="0">
      <alignment vertical="center"/>
    </xf>
    <xf numFmtId="0" fontId="12" fillId="0" borderId="7" applyNumberFormat="0" applyFill="0" applyAlignment="0" applyProtection="0">
      <alignment vertical="center"/>
    </xf>
    <xf numFmtId="0" fontId="12" fillId="0" borderId="0" applyNumberFormat="0" applyFill="0" applyBorder="0" applyAlignment="0" applyProtection="0">
      <alignment vertical="center"/>
    </xf>
    <xf numFmtId="0" fontId="13" fillId="3" borderId="8" applyNumberFormat="0" applyAlignment="0" applyProtection="0">
      <alignment vertical="center"/>
    </xf>
    <xf numFmtId="0" fontId="14" fillId="4" borderId="9" applyNumberFormat="0" applyAlignment="0" applyProtection="0">
      <alignment vertical="center"/>
    </xf>
    <xf numFmtId="0" fontId="15" fillId="4" borderId="8" applyNumberFormat="0" applyAlignment="0" applyProtection="0">
      <alignment vertical="center"/>
    </xf>
    <xf numFmtId="0" fontId="16" fillId="5" borderId="10" applyNumberFormat="0" applyAlignment="0" applyProtection="0">
      <alignment vertical="center"/>
    </xf>
    <xf numFmtId="0" fontId="17" fillId="0" borderId="11" applyNumberFormat="0" applyFill="0" applyAlignment="0" applyProtection="0">
      <alignment vertical="center"/>
    </xf>
    <xf numFmtId="0" fontId="18" fillId="0" borderId="12"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23">
    <xf numFmtId="0" fontId="0" fillId="0" borderId="0" xfId="0">
      <alignment vertical="center"/>
    </xf>
    <xf numFmtId="0" fontId="1" fillId="0" borderId="0" xfId="0" applyFont="1" applyAlignment="1">
      <alignment horizontal="left" vertical="center"/>
    </xf>
    <xf numFmtId="0" fontId="2" fillId="0" borderId="1" xfId="0" applyFont="1" applyBorder="1">
      <alignment vertical="center"/>
    </xf>
    <xf numFmtId="0" fontId="3" fillId="0" borderId="1" xfId="0" applyFont="1" applyBorder="1" applyAlignment="1">
      <alignment horizontal="center" vertical="center"/>
    </xf>
    <xf numFmtId="49" fontId="3" fillId="0" borderId="1" xfId="0" applyNumberFormat="1" applyFont="1" applyBorder="1" applyAlignment="1">
      <alignment horizontal="left" vertical="center"/>
    </xf>
    <xf numFmtId="0" fontId="3" fillId="0" borderId="1" xfId="0" applyFont="1" applyBorder="1" applyAlignment="1">
      <alignment horizontal="left" vertical="center"/>
    </xf>
    <xf numFmtId="9" fontId="3" fillId="0" borderId="1" xfId="3" applyFont="1" applyBorder="1" applyAlignment="1">
      <alignment horizontal="left" vertical="center"/>
    </xf>
    <xf numFmtId="0" fontId="3" fillId="0" borderId="1" xfId="0" applyFont="1" applyBorder="1" applyAlignment="1">
      <alignment horizontal="center" vertical="center"/>
    </xf>
    <xf numFmtId="0" fontId="3" fillId="0" borderId="2" xfId="0" applyFont="1" applyBorder="1" applyAlignment="1">
      <alignment horizontal="center" vertical="center" wrapText="1"/>
    </xf>
    <xf numFmtId="0" fontId="3" fillId="0" borderId="1" xfId="0" applyFont="1" applyBorder="1">
      <alignment vertical="center"/>
    </xf>
    <xf numFmtId="0" fontId="3" fillId="0" borderId="3" xfId="0" applyFont="1" applyBorder="1" applyAlignment="1">
      <alignment horizontal="center" vertical="center" wrapText="1"/>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9" fontId="0" fillId="0" borderId="0" xfId="3">
      <alignment vertical="center"/>
    </xf>
    <xf numFmtId="0" fontId="2" fillId="0" borderId="0" xfId="0" applyFont="1" applyAlignment="1">
      <alignment horizontal="center" vertical="center"/>
    </xf>
    <xf numFmtId="0" fontId="2" fillId="0" borderId="0" xfId="0" applyFont="1">
      <alignment vertical="center"/>
    </xf>
    <xf numFmtId="0" fontId="4" fillId="0" borderId="0" xfId="0" applyFont="1" applyAlignment="1">
      <alignment horizontal="left" vertical="center"/>
    </xf>
    <xf numFmtId="10" fontId="2" fillId="0" borderId="0" xfId="3" applyNumberFormat="1" applyFont="1">
      <alignment vertical="center"/>
    </xf>
    <xf numFmtId="178" fontId="2" fillId="0" borderId="0" xfId="0" applyNumberFormat="1" applyFont="1">
      <alignment vertical="center"/>
    </xf>
    <xf numFmtId="179" fontId="2" fillId="0" borderId="0" xfId="0" applyNumberFormat="1" applyFont="1">
      <alignment vertical="center"/>
    </xf>
    <xf numFmtId="180" fontId="2" fillId="0" borderId="0" xfId="0" applyNumberFormat="1" applyFont="1">
      <alignment vertical="center"/>
    </xf>
    <xf numFmtId="0" fontId="1" fillId="0" borderId="0" xfId="0" applyFon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5"/>
  <sheetViews>
    <sheetView zoomScale="160" zoomScaleNormal="160" workbookViewId="0">
      <selection activeCell="J19" sqref="J19"/>
    </sheetView>
  </sheetViews>
  <sheetFormatPr defaultColWidth="9" defaultRowHeight="13.5"/>
  <cols>
    <col min="2" max="2" width="21.475" customWidth="1"/>
    <col min="3" max="3" width="11.1666666666667" customWidth="1"/>
    <col min="4" max="4" width="7.26666666666667" customWidth="1"/>
    <col min="5" max="5" width="7.65" customWidth="1"/>
    <col min="6" max="6" width="7.5" customWidth="1"/>
    <col min="7" max="7" width="6.55833333333333" customWidth="1"/>
    <col min="8" max="8" width="7.5" customWidth="1"/>
    <col min="9" max="9" width="7.65" customWidth="1"/>
  </cols>
  <sheetData>
    <row r="1" ht="14.25" spans="1:9">
      <c r="C1" s="15" t="s">
        <v>0</v>
      </c>
      <c r="D1" s="15"/>
      <c r="E1" s="15"/>
      <c r="F1" s="15"/>
      <c r="G1" s="15" t="s">
        <v>1</v>
      </c>
      <c r="H1" s="15"/>
      <c r="I1" s="15"/>
    </row>
    <row r="2" ht="14.25" spans="1:9">
      <c r="A2" s="16"/>
      <c r="B2" s="16"/>
      <c r="C2" s="16" t="s">
        <v>2</v>
      </c>
      <c r="D2" s="16" t="s">
        <v>3</v>
      </c>
      <c r="E2" s="16" t="s">
        <v>4</v>
      </c>
      <c r="F2" s="16" t="s">
        <v>5</v>
      </c>
      <c r="G2" s="16" t="s">
        <v>6</v>
      </c>
      <c r="H2" s="16" t="s">
        <v>7</v>
      </c>
      <c r="I2" s="16" t="s">
        <v>8</v>
      </c>
    </row>
    <row r="3" ht="14.25" spans="1:9">
      <c r="A3" s="15">
        <v>2016</v>
      </c>
      <c r="B3" s="17" t="s">
        <v>9</v>
      </c>
      <c r="C3" s="18">
        <v>0.448948306220165</v>
      </c>
      <c r="D3" s="19">
        <v>0.264022729777518</v>
      </c>
      <c r="E3" s="18">
        <v>0.390094331827942</v>
      </c>
      <c r="F3" s="20">
        <v>-0.0879594583782512</v>
      </c>
      <c r="G3" s="19">
        <v>6.5767040071344</v>
      </c>
      <c r="H3" s="20">
        <v>-0.0480366427101794</v>
      </c>
      <c r="I3" s="21">
        <v>0.00157466542786129</v>
      </c>
    </row>
    <row r="4" ht="14.25" spans="1:9">
      <c r="A4" s="15"/>
      <c r="B4" s="17" t="s">
        <v>10</v>
      </c>
      <c r="C4" s="18">
        <v>0.356747646607072</v>
      </c>
      <c r="D4" s="19">
        <v>0.329581447769612</v>
      </c>
      <c r="E4" s="18">
        <v>0.507492004878983</v>
      </c>
      <c r="F4" s="20">
        <v>-0.0902731151296892</v>
      </c>
      <c r="G4" s="19">
        <v>8.66607761814888</v>
      </c>
      <c r="H4" s="20">
        <v>-0.0856210933152766</v>
      </c>
      <c r="I4" s="21">
        <v>0.00437950241064278</v>
      </c>
    </row>
    <row r="5" ht="14.25" spans="1:9">
      <c r="A5" s="15"/>
      <c r="B5" s="17" t="s">
        <v>11</v>
      </c>
      <c r="C5" s="18">
        <v>0.329264272846526</v>
      </c>
      <c r="D5" s="19">
        <v>0.320650377126286</v>
      </c>
      <c r="E5" s="18">
        <v>0.466788329316526</v>
      </c>
      <c r="F5" s="20">
        <v>-0.07910436</v>
      </c>
      <c r="G5" s="19">
        <v>8.19618336361532</v>
      </c>
      <c r="H5" s="20">
        <v>-0.099181008</v>
      </c>
      <c r="I5" s="21">
        <v>0.00608611864463046</v>
      </c>
    </row>
    <row r="6" ht="14.25" spans="1:9">
      <c r="A6" s="15">
        <v>2023</v>
      </c>
      <c r="B6" s="17" t="s">
        <v>9</v>
      </c>
      <c r="C6" s="18">
        <v>0.436580393759656</v>
      </c>
      <c r="D6" s="19">
        <v>0.268699772888454</v>
      </c>
      <c r="E6" s="18">
        <v>0.402820381354097</v>
      </c>
      <c r="F6" s="20">
        <v>-0.0920187706474676</v>
      </c>
      <c r="G6" s="19">
        <v>6.63566809664703</v>
      </c>
      <c r="H6" s="20">
        <v>-0.0574822625857788</v>
      </c>
      <c r="I6" s="21">
        <v>0.00215790203846159</v>
      </c>
    </row>
    <row r="7" ht="14.25" spans="1:9">
      <c r="A7" s="15"/>
      <c r="B7" s="17" t="s">
        <v>10</v>
      </c>
      <c r="C7" s="18">
        <v>0.347118883511624</v>
      </c>
      <c r="D7" s="19">
        <v>0.329969212019647</v>
      </c>
      <c r="E7" s="18">
        <v>0.518077952804233</v>
      </c>
      <c r="F7" s="20">
        <v>-0.0897966975120865</v>
      </c>
      <c r="G7" s="19">
        <v>8.30693019547158</v>
      </c>
      <c r="H7" s="20">
        <v>-0.0886117035949616</v>
      </c>
      <c r="I7" s="21">
        <v>0.00433668267934377</v>
      </c>
    </row>
    <row r="8" ht="14.25" spans="1:9">
      <c r="A8" s="15"/>
      <c r="B8" s="17" t="s">
        <v>11</v>
      </c>
      <c r="C8" s="18">
        <v>0.330869965617461</v>
      </c>
      <c r="D8" s="19">
        <v>0.316651215665502</v>
      </c>
      <c r="E8" s="18">
        <v>0.470934036220277</v>
      </c>
      <c r="F8" s="20">
        <v>-0.075023396696827</v>
      </c>
      <c r="G8" s="19">
        <v>8.02494328614703</v>
      </c>
      <c r="H8" s="20">
        <v>-0.0982398803346484</v>
      </c>
      <c r="I8" s="21">
        <v>0.00647805830648895</v>
      </c>
    </row>
    <row r="11" spans="1:9">
      <c r="B11" s="22"/>
    </row>
    <row r="12" spans="1:9">
      <c r="B12" s="22"/>
    </row>
    <row r="13" spans="1:9">
      <c r="B13" s="22"/>
    </row>
    <row r="14" spans="1:9">
      <c r="A14" s="22"/>
      <c r="B14" s="22"/>
    </row>
    <row r="15" spans="1:9">
      <c r="A15" s="22"/>
      <c r="B15" s="22"/>
    </row>
    <row r="16" spans="1:9">
      <c r="A16" s="22"/>
      <c r="B16" s="22"/>
    </row>
    <row r="17" spans="1:2">
      <c r="A17" s="22"/>
      <c r="B17" s="22"/>
    </row>
    <row r="18" spans="1:2">
      <c r="A18" s="22"/>
    </row>
    <row r="19" spans="1:2">
      <c r="A19" s="22"/>
    </row>
    <row r="20" spans="1:2">
      <c r="A20" s="22"/>
    </row>
    <row r="21" spans="1:2">
      <c r="A21" s="22"/>
    </row>
    <row r="22" spans="1:2">
      <c r="A22" s="22"/>
    </row>
    <row r="23" spans="1:2">
      <c r="A23" s="22"/>
    </row>
    <row r="24" spans="1:2">
      <c r="A24" s="22"/>
    </row>
    <row r="25" spans="1:2">
      <c r="A25" s="22"/>
    </row>
  </sheetData>
  <mergeCells count="4">
    <mergeCell ref="C1:F1"/>
    <mergeCell ref="G1:I1"/>
    <mergeCell ref="A3:A5"/>
    <mergeCell ref="A6:A8"/>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155"/>
  <sheetViews>
    <sheetView tabSelected="1" workbookViewId="0">
      <selection activeCell="R18" sqref="R18"/>
    </sheetView>
  </sheetViews>
  <sheetFormatPr defaultColWidth="9" defaultRowHeight="13.5"/>
  <cols>
    <col min="8" max="8" width="29.25" customWidth="1"/>
    <col min="9" max="9" width="14" customWidth="1"/>
    <col min="11" max="11" width="5.75" customWidth="1"/>
    <col min="14" max="14" width="13.25" customWidth="1"/>
    <col min="16" max="16" width="10.375" customWidth="1"/>
  </cols>
  <sheetData>
    <row r="1" spans="2:16">
      <c r="B1" s="1" t="s">
        <v>12</v>
      </c>
    </row>
    <row r="2" ht="14.25" spans="2:16">
      <c r="B2" s="1" t="s">
        <v>13</v>
      </c>
      <c r="N2" s="2" t="s">
        <v>14</v>
      </c>
      <c r="O2" s="2" t="s">
        <v>15</v>
      </c>
      <c r="P2" s="2" t="s">
        <v>16</v>
      </c>
    </row>
    <row r="3" ht="15" spans="2:16">
      <c r="B3" s="1" t="s">
        <v>17</v>
      </c>
      <c r="H3" s="3" t="s">
        <v>18</v>
      </c>
      <c r="I3" s="4" t="s">
        <v>9</v>
      </c>
      <c r="J3" s="5">
        <v>16</v>
      </c>
      <c r="K3" s="6">
        <v>0.363636363636364</v>
      </c>
      <c r="L3" s="7">
        <v>47</v>
      </c>
      <c r="N3" s="8" t="s">
        <v>9</v>
      </c>
      <c r="O3" s="9" t="s">
        <v>19</v>
      </c>
      <c r="P3" s="6">
        <v>0.363636363636364</v>
      </c>
    </row>
    <row r="4" ht="15" spans="2:16">
      <c r="B4" s="1" t="s">
        <v>20</v>
      </c>
      <c r="H4" s="7"/>
      <c r="I4" s="4" t="s">
        <v>21</v>
      </c>
      <c r="J4" s="5">
        <v>15</v>
      </c>
      <c r="K4" s="6">
        <v>0.5</v>
      </c>
      <c r="L4" s="7"/>
      <c r="N4" s="10"/>
      <c r="O4" s="9" t="s">
        <v>22</v>
      </c>
      <c r="P4" s="6">
        <v>0.227272727272727</v>
      </c>
    </row>
    <row r="5" ht="15" spans="2:16">
      <c r="B5" s="1" t="s">
        <v>23</v>
      </c>
      <c r="H5" s="7"/>
      <c r="I5" s="4" t="s">
        <v>11</v>
      </c>
      <c r="J5" s="5">
        <v>16</v>
      </c>
      <c r="K5" s="6">
        <v>0.533333333333333</v>
      </c>
      <c r="L5" s="7"/>
      <c r="N5" s="10"/>
      <c r="O5" s="9" t="s">
        <v>24</v>
      </c>
      <c r="P5" s="6">
        <v>0</v>
      </c>
    </row>
    <row r="6" ht="15" spans="2:16">
      <c r="B6" s="1" t="s">
        <v>25</v>
      </c>
      <c r="H6" s="3" t="s">
        <v>26</v>
      </c>
      <c r="I6" s="4" t="s">
        <v>9</v>
      </c>
      <c r="J6" s="5">
        <v>10</v>
      </c>
      <c r="K6" s="6">
        <v>0.227272727272727</v>
      </c>
      <c r="L6" s="7">
        <v>29</v>
      </c>
      <c r="N6" s="10"/>
      <c r="O6" s="9" t="s">
        <v>27</v>
      </c>
      <c r="P6" s="6">
        <v>0.409090909090909</v>
      </c>
    </row>
    <row r="7" ht="15" spans="2:16">
      <c r="B7" s="1" t="s">
        <v>28</v>
      </c>
      <c r="H7" s="7"/>
      <c r="I7" s="4" t="s">
        <v>21</v>
      </c>
      <c r="J7" s="5">
        <v>9</v>
      </c>
      <c r="K7" s="6">
        <v>0.3</v>
      </c>
      <c r="L7" s="7"/>
      <c r="N7" s="11" t="s">
        <v>21</v>
      </c>
      <c r="O7" s="9" t="s">
        <v>19</v>
      </c>
      <c r="P7" s="6">
        <v>0.5</v>
      </c>
    </row>
    <row r="8" ht="15" spans="2:16">
      <c r="H8" s="7"/>
      <c r="I8" s="4" t="s">
        <v>11</v>
      </c>
      <c r="J8" s="5">
        <v>10</v>
      </c>
      <c r="K8" s="6">
        <v>0.333333333333333</v>
      </c>
      <c r="L8" s="7"/>
      <c r="N8" s="12"/>
      <c r="O8" s="9" t="s">
        <v>22</v>
      </c>
      <c r="P8" s="6">
        <v>0.3</v>
      </c>
    </row>
    <row r="9" ht="15" spans="2:16">
      <c r="B9" s="1" t="s">
        <v>29</v>
      </c>
      <c r="H9" s="3" t="s">
        <v>30</v>
      </c>
      <c r="I9" s="4" t="s">
        <v>9</v>
      </c>
      <c r="J9" s="5">
        <v>18</v>
      </c>
      <c r="K9" s="6">
        <v>0.409090909090909</v>
      </c>
      <c r="L9" s="7">
        <v>27</v>
      </c>
      <c r="N9" s="12"/>
      <c r="O9" s="9" t="s">
        <v>24</v>
      </c>
      <c r="P9" s="6">
        <v>0.0333333333333333</v>
      </c>
    </row>
    <row r="10" ht="15" spans="2:16">
      <c r="B10" s="1" t="s">
        <v>31</v>
      </c>
      <c r="H10" s="7"/>
      <c r="I10" s="4" t="s">
        <v>21</v>
      </c>
      <c r="J10" s="5">
        <v>5</v>
      </c>
      <c r="K10" s="6">
        <v>0.166666666666667</v>
      </c>
      <c r="L10" s="7"/>
      <c r="N10" s="13"/>
      <c r="O10" s="9" t="s">
        <v>27</v>
      </c>
      <c r="P10" s="6">
        <v>0.166666666666667</v>
      </c>
    </row>
    <row r="11" ht="15" spans="2:16">
      <c r="B11" s="1" t="s">
        <v>32</v>
      </c>
      <c r="H11" s="7"/>
      <c r="I11" s="4" t="s">
        <v>11</v>
      </c>
      <c r="J11" s="5">
        <v>4</v>
      </c>
      <c r="K11" s="6">
        <v>0.133333333333333</v>
      </c>
      <c r="L11" s="7"/>
      <c r="N11" s="11" t="s">
        <v>33</v>
      </c>
      <c r="O11" s="9" t="s">
        <v>19</v>
      </c>
      <c r="P11" s="6">
        <v>0.533333333333333</v>
      </c>
    </row>
    <row r="12" ht="15" spans="2:16">
      <c r="B12" s="1" t="s">
        <v>34</v>
      </c>
      <c r="H12" s="3" t="s">
        <v>35</v>
      </c>
      <c r="I12" s="4" t="s">
        <v>9</v>
      </c>
      <c r="J12" s="5">
        <v>0</v>
      </c>
      <c r="K12" s="6">
        <v>0</v>
      </c>
      <c r="L12" s="7">
        <v>1</v>
      </c>
      <c r="N12" s="12"/>
      <c r="O12" s="9" t="s">
        <v>22</v>
      </c>
      <c r="P12" s="6">
        <v>0.333333333333333</v>
      </c>
    </row>
    <row r="13" ht="15" spans="2:16">
      <c r="B13" s="1" t="s">
        <v>36</v>
      </c>
      <c r="H13" s="7"/>
      <c r="I13" s="4" t="s">
        <v>21</v>
      </c>
      <c r="J13" s="5">
        <v>1</v>
      </c>
      <c r="K13" s="6">
        <v>0.0333333333333333</v>
      </c>
      <c r="L13" s="7"/>
      <c r="N13" s="12"/>
      <c r="O13" s="9" t="s">
        <v>24</v>
      </c>
      <c r="P13" s="6">
        <v>0</v>
      </c>
    </row>
    <row r="14" ht="15" spans="2:16">
      <c r="B14" s="1" t="s">
        <v>37</v>
      </c>
      <c r="H14" s="7"/>
      <c r="I14" s="4" t="s">
        <v>11</v>
      </c>
      <c r="J14" s="5">
        <v>0</v>
      </c>
      <c r="K14" s="6">
        <v>0</v>
      </c>
      <c r="L14" s="7"/>
      <c r="N14" s="13"/>
      <c r="O14" s="9" t="s">
        <v>27</v>
      </c>
      <c r="P14" s="6">
        <v>0.133333333333333</v>
      </c>
    </row>
    <row r="15" spans="2:16">
      <c r="K15" s="14"/>
    </row>
    <row r="16" spans="2:16">
      <c r="B16" s="1" t="s">
        <v>38</v>
      </c>
      <c r="K16" s="14"/>
    </row>
    <row r="17" spans="2:12">
      <c r="B17" s="1" t="s">
        <v>32</v>
      </c>
      <c r="K17" s="14"/>
    </row>
    <row r="18" ht="15" spans="2:12">
      <c r="B18" s="1" t="s">
        <v>39</v>
      </c>
      <c r="H18" s="3" t="s">
        <v>40</v>
      </c>
      <c r="I18" s="4" t="s">
        <v>9</v>
      </c>
      <c r="J18" s="5">
        <v>20</v>
      </c>
      <c r="K18" s="6">
        <f>J18/44</f>
        <v>0.454545454545455</v>
      </c>
      <c r="L18" s="7">
        <v>45</v>
      </c>
    </row>
    <row r="19" ht="15" spans="2:12">
      <c r="B19" s="1" t="s">
        <v>41</v>
      </c>
      <c r="H19" s="7"/>
      <c r="I19" s="4" t="s">
        <v>21</v>
      </c>
      <c r="J19" s="5">
        <v>10</v>
      </c>
      <c r="K19" s="6">
        <f t="shared" ref="K19:K23" si="0">J19/30</f>
        <v>0.333333333333333</v>
      </c>
      <c r="L19" s="7"/>
    </row>
    <row r="20" ht="15" spans="2:12">
      <c r="B20" s="1" t="s">
        <v>42</v>
      </c>
      <c r="H20" s="7"/>
      <c r="I20" s="4" t="s">
        <v>11</v>
      </c>
      <c r="J20" s="5">
        <v>15</v>
      </c>
      <c r="K20" s="6">
        <f t="shared" si="0"/>
        <v>0.5</v>
      </c>
      <c r="L20" s="7"/>
    </row>
    <row r="21" ht="15" spans="2:12">
      <c r="H21" s="3" t="s">
        <v>43</v>
      </c>
      <c r="I21" s="4" t="s">
        <v>9</v>
      </c>
      <c r="J21" s="5">
        <v>20</v>
      </c>
      <c r="K21" s="6">
        <f>J21/44</f>
        <v>0.454545454545455</v>
      </c>
      <c r="L21" s="7">
        <v>33</v>
      </c>
    </row>
    <row r="22" ht="15" spans="2:12">
      <c r="B22" s="1" t="s">
        <v>44</v>
      </c>
      <c r="H22" s="7"/>
      <c r="I22" s="4" t="s">
        <v>21</v>
      </c>
      <c r="J22" s="5">
        <v>6</v>
      </c>
      <c r="K22" s="6">
        <f t="shared" si="0"/>
        <v>0.2</v>
      </c>
      <c r="L22" s="7"/>
    </row>
    <row r="23" ht="15" spans="2:12">
      <c r="B23" s="1" t="s">
        <v>32</v>
      </c>
      <c r="H23" s="7"/>
      <c r="I23" s="4" t="s">
        <v>11</v>
      </c>
      <c r="J23" s="5">
        <v>7</v>
      </c>
      <c r="K23" s="6">
        <f t="shared" si="0"/>
        <v>0.233333333333333</v>
      </c>
      <c r="L23" s="7"/>
    </row>
    <row r="24" ht="15" spans="2:12">
      <c r="B24" s="1" t="s">
        <v>45</v>
      </c>
      <c r="H24" s="3" t="s">
        <v>46</v>
      </c>
      <c r="I24" s="4" t="s">
        <v>9</v>
      </c>
      <c r="J24" s="5">
        <v>2</v>
      </c>
      <c r="K24" s="6">
        <f>J24/44</f>
        <v>0.0454545454545455</v>
      </c>
      <c r="L24" s="7">
        <v>17</v>
      </c>
    </row>
    <row r="25" ht="15" spans="2:12">
      <c r="B25" s="1" t="s">
        <v>47</v>
      </c>
      <c r="H25" s="7"/>
      <c r="I25" s="4" t="s">
        <v>21</v>
      </c>
      <c r="J25" s="5">
        <v>9</v>
      </c>
      <c r="K25" s="6">
        <f t="shared" ref="K25:K29" si="1">J25/30</f>
        <v>0.3</v>
      </c>
      <c r="L25" s="7"/>
    </row>
    <row r="26" ht="15" spans="2:12">
      <c r="B26" s="1" t="s">
        <v>48</v>
      </c>
      <c r="H26" s="7"/>
      <c r="I26" s="4" t="s">
        <v>11</v>
      </c>
      <c r="J26" s="5">
        <v>6</v>
      </c>
      <c r="K26" s="6">
        <f t="shared" si="1"/>
        <v>0.2</v>
      </c>
      <c r="L26" s="7"/>
    </row>
    <row r="27" ht="15" spans="2:12">
      <c r="H27" s="3" t="s">
        <v>49</v>
      </c>
      <c r="I27" s="4" t="s">
        <v>9</v>
      </c>
      <c r="J27" s="5">
        <v>2</v>
      </c>
      <c r="K27" s="6">
        <f>J27/44</f>
        <v>0.0454545454545455</v>
      </c>
      <c r="L27" s="7">
        <v>9</v>
      </c>
    </row>
    <row r="28" ht="15" spans="2:12">
      <c r="B28" s="1" t="s">
        <v>50</v>
      </c>
      <c r="H28" s="7"/>
      <c r="I28" s="4" t="s">
        <v>21</v>
      </c>
      <c r="J28" s="5">
        <v>5</v>
      </c>
      <c r="K28" s="6">
        <f t="shared" si="1"/>
        <v>0.166666666666667</v>
      </c>
      <c r="L28" s="7"/>
    </row>
    <row r="29" ht="15" spans="2:12">
      <c r="B29" s="1" t="s">
        <v>32</v>
      </c>
      <c r="H29" s="7"/>
      <c r="I29" s="4" t="s">
        <v>11</v>
      </c>
      <c r="J29" s="5">
        <v>2</v>
      </c>
      <c r="K29" s="6">
        <f t="shared" si="1"/>
        <v>0.0666666666666667</v>
      </c>
      <c r="L29" s="7"/>
    </row>
    <row r="30" spans="2:12">
      <c r="B30" s="1" t="s">
        <v>51</v>
      </c>
    </row>
    <row r="31" spans="2:12">
      <c r="B31" s="1" t="s">
        <v>52</v>
      </c>
    </row>
    <row r="32" spans="2:12">
      <c r="B32" s="1" t="s">
        <v>53</v>
      </c>
    </row>
    <row r="34" spans="2:2">
      <c r="B34" s="1" t="s">
        <v>54</v>
      </c>
    </row>
    <row r="35" spans="2:2">
      <c r="B35" s="1" t="s">
        <v>55</v>
      </c>
    </row>
    <row r="36" spans="2:2">
      <c r="B36" s="1" t="s">
        <v>56</v>
      </c>
    </row>
    <row r="37" spans="2:2">
      <c r="B37" s="1" t="s">
        <v>57</v>
      </c>
    </row>
    <row r="38" spans="2:2">
      <c r="B38" s="1" t="s">
        <v>58</v>
      </c>
    </row>
    <row r="40" spans="2:2">
      <c r="B40" s="1" t="s">
        <v>59</v>
      </c>
    </row>
    <row r="41" spans="2:2">
      <c r="B41" s="1" t="s">
        <v>60</v>
      </c>
    </row>
    <row r="42" spans="2:2">
      <c r="B42" s="1" t="s">
        <v>61</v>
      </c>
    </row>
    <row r="43" spans="2:2">
      <c r="B43" s="1" t="s">
        <v>62</v>
      </c>
    </row>
    <row r="44" spans="2:2">
      <c r="B44" s="1" t="s">
        <v>63</v>
      </c>
    </row>
    <row r="45" spans="2:2">
      <c r="B45" s="1" t="s">
        <v>64</v>
      </c>
    </row>
    <row r="46" spans="2:2">
      <c r="B46" s="1" t="s">
        <v>28</v>
      </c>
    </row>
    <row r="48" spans="2:2">
      <c r="B48" s="1" t="s">
        <v>29</v>
      </c>
    </row>
    <row r="49" spans="2:2">
      <c r="B49" s="1" t="s">
        <v>65</v>
      </c>
    </row>
    <row r="50" spans="2:2">
      <c r="B50" s="1" t="s">
        <v>32</v>
      </c>
    </row>
    <row r="51" spans="2:2">
      <c r="B51" s="1" t="s">
        <v>66</v>
      </c>
    </row>
    <row r="52" spans="2:2">
      <c r="B52" s="1" t="s">
        <v>67</v>
      </c>
    </row>
    <row r="53" spans="2:2">
      <c r="B53" s="1" t="s">
        <v>68</v>
      </c>
    </row>
    <row r="55" spans="2:2">
      <c r="B55" s="1" t="s">
        <v>69</v>
      </c>
    </row>
    <row r="56" spans="2:2">
      <c r="B56" s="1" t="s">
        <v>32</v>
      </c>
    </row>
    <row r="57" spans="2:2">
      <c r="B57" s="1" t="s">
        <v>70</v>
      </c>
    </row>
    <row r="58" spans="2:2">
      <c r="B58" s="1" t="s">
        <v>71</v>
      </c>
    </row>
    <row r="59" spans="2:2">
      <c r="B59" s="1" t="s">
        <v>72</v>
      </c>
    </row>
    <row r="61" spans="2:2">
      <c r="B61" s="1" t="s">
        <v>73</v>
      </c>
    </row>
    <row r="62" spans="2:2">
      <c r="B62" s="1" t="s">
        <v>32</v>
      </c>
    </row>
    <row r="63" spans="2:2">
      <c r="B63" s="1" t="s">
        <v>74</v>
      </c>
    </row>
    <row r="64" spans="2:2">
      <c r="B64" s="1" t="s">
        <v>75</v>
      </c>
    </row>
    <row r="65" spans="2:2">
      <c r="B65" s="1" t="s">
        <v>76</v>
      </c>
    </row>
    <row r="67" spans="2:2">
      <c r="B67" s="1" t="s">
        <v>77</v>
      </c>
    </row>
    <row r="68" spans="2:2">
      <c r="B68" s="1" t="s">
        <v>32</v>
      </c>
    </row>
    <row r="69" spans="2:2">
      <c r="B69" s="1" t="s">
        <v>78</v>
      </c>
    </row>
    <row r="70" spans="2:2">
      <c r="B70" s="1" t="s">
        <v>79</v>
      </c>
    </row>
    <row r="71" spans="2:2">
      <c r="B71" s="1" t="s">
        <v>80</v>
      </c>
    </row>
    <row r="73" spans="2:2">
      <c r="B73" s="1" t="s">
        <v>81</v>
      </c>
    </row>
    <row r="74" spans="2:2">
      <c r="B74" s="1" t="s">
        <v>82</v>
      </c>
    </row>
    <row r="75" spans="2:2">
      <c r="B75" s="1" t="s">
        <v>83</v>
      </c>
    </row>
    <row r="76" spans="2:2">
      <c r="B76" s="1" t="s">
        <v>84</v>
      </c>
    </row>
    <row r="77" spans="2:2">
      <c r="B77" s="1" t="s">
        <v>85</v>
      </c>
    </row>
    <row r="79" spans="2:2">
      <c r="B79" s="1" t="s">
        <v>86</v>
      </c>
    </row>
    <row r="80" spans="2:2">
      <c r="B80" s="1" t="s">
        <v>13</v>
      </c>
    </row>
    <row r="81" spans="2:2">
      <c r="B81" s="1" t="s">
        <v>87</v>
      </c>
    </row>
    <row r="82" spans="2:2">
      <c r="B82" s="1" t="s">
        <v>88</v>
      </c>
    </row>
    <row r="83" spans="2:2">
      <c r="B83" s="1" t="s">
        <v>89</v>
      </c>
    </row>
    <row r="84" spans="2:2">
      <c r="B84" s="1" t="s">
        <v>25</v>
      </c>
    </row>
    <row r="85" spans="2:2">
      <c r="B85" s="1" t="s">
        <v>28</v>
      </c>
    </row>
    <row r="87" spans="2:2">
      <c r="B87" s="1" t="s">
        <v>29</v>
      </c>
    </row>
    <row r="88" spans="2:2">
      <c r="B88" s="1" t="s">
        <v>31</v>
      </c>
    </row>
    <row r="89" spans="2:2">
      <c r="B89" s="1" t="s">
        <v>32</v>
      </c>
    </row>
    <row r="90" spans="2:2">
      <c r="B90" s="1" t="s">
        <v>34</v>
      </c>
    </row>
    <row r="91" spans="2:2">
      <c r="B91" s="1" t="s">
        <v>90</v>
      </c>
    </row>
    <row r="92" spans="2:2">
      <c r="B92" s="1" t="s">
        <v>37</v>
      </c>
    </row>
    <row r="94" spans="2:2">
      <c r="B94" s="1" t="s">
        <v>38</v>
      </c>
    </row>
    <row r="95" spans="2:2">
      <c r="B95" s="1" t="s">
        <v>32</v>
      </c>
    </row>
    <row r="96" spans="2:2">
      <c r="B96" s="1" t="s">
        <v>39</v>
      </c>
    </row>
    <row r="97" spans="2:2">
      <c r="B97" s="1" t="s">
        <v>41</v>
      </c>
    </row>
    <row r="98" spans="2:2">
      <c r="B98" s="1" t="s">
        <v>42</v>
      </c>
    </row>
    <row r="100" spans="2:2">
      <c r="B100" s="1" t="s">
        <v>44</v>
      </c>
    </row>
    <row r="101" spans="2:2">
      <c r="B101" s="1" t="s">
        <v>32</v>
      </c>
    </row>
    <row r="102" spans="2:2">
      <c r="B102" s="1" t="s">
        <v>45</v>
      </c>
    </row>
    <row r="103" spans="2:2">
      <c r="B103" s="1" t="s">
        <v>91</v>
      </c>
    </row>
    <row r="104" spans="2:2">
      <c r="B104" s="1" t="s">
        <v>48</v>
      </c>
    </row>
    <row r="106" spans="2:2">
      <c r="B106" s="1" t="s">
        <v>50</v>
      </c>
    </row>
    <row r="107" spans="2:2">
      <c r="B107" s="1" t="s">
        <v>32</v>
      </c>
    </row>
    <row r="108" spans="2:2">
      <c r="B108" s="1" t="s">
        <v>51</v>
      </c>
    </row>
    <row r="109" spans="2:2">
      <c r="B109" s="1" t="s">
        <v>92</v>
      </c>
    </row>
    <row r="110" spans="2:2">
      <c r="B110" s="1" t="s">
        <v>53</v>
      </c>
    </row>
    <row r="112" spans="2:2">
      <c r="B112" s="1" t="s">
        <v>93</v>
      </c>
    </row>
    <row r="113" spans="2:2">
      <c r="B113" s="1" t="s">
        <v>94</v>
      </c>
    </row>
    <row r="114" spans="2:2">
      <c r="B114" s="1" t="s">
        <v>95</v>
      </c>
    </row>
    <row r="115" spans="2:2">
      <c r="B115" s="1" t="s">
        <v>96</v>
      </c>
    </row>
    <row r="116" spans="2:2">
      <c r="B116" s="1" t="s">
        <v>97</v>
      </c>
    </row>
    <row r="118" spans="2:2">
      <c r="B118" s="1" t="s">
        <v>98</v>
      </c>
    </row>
    <row r="119" spans="2:2">
      <c r="B119" s="1" t="s">
        <v>60</v>
      </c>
    </row>
    <row r="120" spans="2:2">
      <c r="B120" s="1" t="s">
        <v>99</v>
      </c>
    </row>
    <row r="121" spans="2:2">
      <c r="B121" s="1" t="s">
        <v>100</v>
      </c>
    </row>
    <row r="122" spans="2:2">
      <c r="B122" s="1" t="s">
        <v>101</v>
      </c>
    </row>
    <row r="123" spans="2:2">
      <c r="B123" s="1" t="s">
        <v>102</v>
      </c>
    </row>
    <row r="124" spans="2:2">
      <c r="B124" s="1" t="s">
        <v>28</v>
      </c>
    </row>
    <row r="126" spans="2:2">
      <c r="B126" s="1" t="s">
        <v>29</v>
      </c>
    </row>
    <row r="127" spans="2:2">
      <c r="B127" s="1" t="s">
        <v>65</v>
      </c>
    </row>
    <row r="128" spans="2:2">
      <c r="B128" s="1" t="s">
        <v>32</v>
      </c>
    </row>
    <row r="129" spans="2:2">
      <c r="B129" s="1" t="s">
        <v>103</v>
      </c>
    </row>
    <row r="130" spans="2:2">
      <c r="B130" s="1" t="s">
        <v>104</v>
      </c>
    </row>
    <row r="131" spans="2:2">
      <c r="B131" s="1" t="s">
        <v>105</v>
      </c>
    </row>
    <row r="133" spans="2:2">
      <c r="B133" s="1" t="s">
        <v>69</v>
      </c>
    </row>
    <row r="134" spans="2:2">
      <c r="B134" s="1" t="s">
        <v>32</v>
      </c>
    </row>
    <row r="135" spans="2:2">
      <c r="B135" s="1" t="s">
        <v>70</v>
      </c>
    </row>
    <row r="136" spans="2:2">
      <c r="B136" s="1" t="s">
        <v>106</v>
      </c>
    </row>
    <row r="137" spans="2:2">
      <c r="B137" s="1" t="s">
        <v>107</v>
      </c>
    </row>
    <row r="139" spans="2:2">
      <c r="B139" s="1" t="s">
        <v>73</v>
      </c>
    </row>
    <row r="140" spans="2:2">
      <c r="B140" s="1" t="s">
        <v>32</v>
      </c>
    </row>
    <row r="141" spans="2:2">
      <c r="B141" s="1" t="s">
        <v>108</v>
      </c>
    </row>
    <row r="142" spans="2:2">
      <c r="B142" s="1" t="s">
        <v>109</v>
      </c>
    </row>
    <row r="143" spans="2:2">
      <c r="B143" s="1" t="s">
        <v>110</v>
      </c>
    </row>
    <row r="145" spans="2:2">
      <c r="B145" s="1" t="s">
        <v>77</v>
      </c>
    </row>
    <row r="146" spans="2:2">
      <c r="B146" s="1" t="s">
        <v>32</v>
      </c>
    </row>
    <row r="147" spans="2:2">
      <c r="B147" s="1" t="s">
        <v>111</v>
      </c>
    </row>
    <row r="148" spans="2:2">
      <c r="B148" s="1" t="s">
        <v>104</v>
      </c>
    </row>
    <row r="149" spans="2:2">
      <c r="B149" s="1" t="s">
        <v>53</v>
      </c>
    </row>
    <row r="151" spans="2:2">
      <c r="B151" s="1" t="s">
        <v>112</v>
      </c>
    </row>
    <row r="152" spans="2:2">
      <c r="B152" s="1" t="s">
        <v>113</v>
      </c>
    </row>
    <row r="153" spans="2:2">
      <c r="B153" s="1" t="s">
        <v>114</v>
      </c>
    </row>
    <row r="154" spans="2:2">
      <c r="B154" s="1" t="s">
        <v>115</v>
      </c>
    </row>
    <row r="155" spans="2:2">
      <c r="B155" s="1" t="s">
        <v>116</v>
      </c>
    </row>
  </sheetData>
  <mergeCells count="19">
    <mergeCell ref="H3:H5"/>
    <mergeCell ref="H6:H8"/>
    <mergeCell ref="H9:H11"/>
    <mergeCell ref="H12:H14"/>
    <mergeCell ref="H18:H20"/>
    <mergeCell ref="H21:H23"/>
    <mergeCell ref="H24:H26"/>
    <mergeCell ref="H27:H29"/>
    <mergeCell ref="L3:L5"/>
    <mergeCell ref="L6:L8"/>
    <mergeCell ref="L9:L11"/>
    <mergeCell ref="L12:L14"/>
    <mergeCell ref="L18:L20"/>
    <mergeCell ref="L21:L23"/>
    <mergeCell ref="L24:L26"/>
    <mergeCell ref="L27:L29"/>
    <mergeCell ref="N3:N6"/>
    <mergeCell ref="N7:N10"/>
    <mergeCell ref="N11:N14"/>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liang</dc:creator>
  <cp:lastModifiedBy>April Liang</cp:lastModifiedBy>
  <dcterms:created xsi:type="dcterms:W3CDTF">2026-03-03T20:42:00Z</dcterms:created>
  <dcterms:modified xsi:type="dcterms:W3CDTF">2026-03-11T17:13:20Z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399FFB63CF0CD4935E0FA76964E9B3F0_41</vt:lpwstr>
  </property>
  <property fmtid="{D5CDD505-2E9C-101B-9397-08002B2CF9AE}" pid="3" name="KSOProductBuildVer">
    <vt:lpwstr>2052-12.1.2.24722</vt:lpwstr>
  </property>
  <property fmtid="{D5CDD505-2E9C-101B-9397-08002B2CF9AE}" pid="4" name="CalculationRule">
    <vt:i4>1</vt:i4>
  </property>
</Properties>
</file>